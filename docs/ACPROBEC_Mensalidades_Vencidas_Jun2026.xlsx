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adimplenci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<sst xmlns="http://schemas.openxmlformats.org/spreadsheetml/2006/main" count="207" uniqueCount="76">
  <si>
    <t xml:space="preserve">ACPROBEC — Relatório de Mensalidades Vencidas / Em Aberto</t>
  </si>
  <si>
    <t xml:space="preserve">Associação Colaborativa de Profissionais Liberais, Comércio e Setor de Beleza</t>
  </si>
  <si>
    <t xml:space="preserve">Gerado em 04/07/2026 — Contrato base: 352568</t>
  </si>
  <si>
    <t xml:space="preserve">Titular</t>
  </si>
  <si>
    <t xml:space="preserve">Vencimento</t>
  </si>
  <si>
    <t xml:space="preserve">Competência</t>
  </si>
  <si>
    <t xml:space="preserve">Atraso (dias)</t>
  </si>
  <si>
    <t xml:space="preserve">Total (R$)</t>
  </si>
  <si>
    <t xml:space="preserve">Situação</t>
  </si>
  <si>
    <t xml:space="preserve">EDUARDO LIBORIO DA MOTA</t>
  </si>
  <si>
    <t xml:space="preserve">abr/26</t>
  </si>
  <si>
    <t xml:space="preserve">Crítico</t>
  </si>
  <si>
    <t xml:space="preserve">LUIS FELIPE GUIMARAES SILVA</t>
  </si>
  <si>
    <t xml:space="preserve">PEDRO LUCAS DE SOUZA NASCIMENTO</t>
  </si>
  <si>
    <t xml:space="preserve">YAN HENRIQUE SA</t>
  </si>
  <si>
    <t xml:space="preserve">mai/26</t>
  </si>
  <si>
    <t xml:space="preserve">Atenção</t>
  </si>
  <si>
    <t xml:space="preserve">ELANE ALENCAR LIMA DA SILVA</t>
  </si>
  <si>
    <t xml:space="preserve">EMILLY NICOLY DA SILVA XAVIER</t>
  </si>
  <si>
    <t xml:space="preserve">ERICO OLIVEIRA DE LIMA</t>
  </si>
  <si>
    <t xml:space="preserve">GILVAN ARAUJO RIBEIRO</t>
  </si>
  <si>
    <t xml:space="preserve">HELENA YASMIN SANTOS FERREIRA</t>
  </si>
  <si>
    <t xml:space="preserve">LETICIA GOMES DA SILVA</t>
  </si>
  <si>
    <t xml:space="preserve">MARIA AUXILIADORA CESAR LOIOLA</t>
  </si>
  <si>
    <t xml:space="preserve">MELISSA GABRIELLE DA SILVA XAVIER</t>
  </si>
  <si>
    <t xml:space="preserve">VALDECINO ALVES RODRIGUES</t>
  </si>
  <si>
    <t xml:space="preserve">MICHELE DE LIMA ROCHA</t>
  </si>
  <si>
    <t xml:space="preserve">ICARO CAIRE COSTA DE ANDRADE</t>
  </si>
  <si>
    <t xml:space="preserve">MARIA EDUARDA CARVALHO OLIVEIRA</t>
  </si>
  <si>
    <t xml:space="preserve">WILKER ARAUJO DE AMORIM</t>
  </si>
  <si>
    <t xml:space="preserve">AMANDA DAVILA DA SILVA FREITAS</t>
  </si>
  <si>
    <t xml:space="preserve">jun/26</t>
  </si>
  <si>
    <t xml:space="preserve">Recente</t>
  </si>
  <si>
    <t xml:space="preserve">ANA CAROLINNA SANTANA BRITO DE SIQUEIRA BARBOSA</t>
  </si>
  <si>
    <t xml:space="preserve">ANTONELLA MENDES CRUZ</t>
  </si>
  <si>
    <t xml:space="preserve">ANTONIO HENRIQUE DA COSTA PENHA</t>
  </si>
  <si>
    <t xml:space="preserve">BETTINA VITORIA MENEZES TORRES</t>
  </si>
  <si>
    <t xml:space="preserve">CAROLINNE CAVALCANTE DE CARVALHO MARTINS</t>
  </si>
  <si>
    <t xml:space="preserve">CINTHIA REJANE DA SILVA PEREIRA ROCHA</t>
  </si>
  <si>
    <t xml:space="preserve">DAMARAS DA SILVA SANTOS</t>
  </si>
  <si>
    <t xml:space="preserve">DEISIANE DE SENA RIBEIRO</t>
  </si>
  <si>
    <t xml:space="preserve">ERICA DA SILVA GUEDES</t>
  </si>
  <si>
    <t xml:space="preserve">ERICA RAISSA LIMA DA SILVA</t>
  </si>
  <si>
    <t xml:space="preserve">FATIMA LAISA BARBOSA GOMES</t>
  </si>
  <si>
    <t xml:space="preserve">FERNANDA ANDREIA DA SILVA</t>
  </si>
  <si>
    <t xml:space="preserve">FERNANDA CAROLINE SILVA SANTOS</t>
  </si>
  <si>
    <t xml:space="preserve">FERNANDO VIEIRA ARAUJO</t>
  </si>
  <si>
    <t xml:space="preserve">INGRID LUANA NASCIMENTO SANTANA</t>
  </si>
  <si>
    <t xml:space="preserve">JACI FERREIRA DE LIMA</t>
  </si>
  <si>
    <t xml:space="preserve">JADE BERBEN CABRAL</t>
  </si>
  <si>
    <t xml:space="preserve">JANAINA TEOTONIO PASSOS</t>
  </si>
  <si>
    <t xml:space="preserve">JOAO LUCAS SOUZA SILVA</t>
  </si>
  <si>
    <t xml:space="preserve">JOAO PAULO FREIRE MUNIZ DE VASCONCELOS</t>
  </si>
  <si>
    <t xml:space="preserve">JOAO PEDRO DE OLIVEIRA NOBRE GABRIEL DE JESUS</t>
  </si>
  <si>
    <t xml:space="preserve">JUAN PAULINO FERREIRA COELHO</t>
  </si>
  <si>
    <t xml:space="preserve">LAIS GOMES DA COSTA FERNANDES</t>
  </si>
  <si>
    <t xml:space="preserve">LEVI MIRANDA DE JESUS</t>
  </si>
  <si>
    <t xml:space="preserve">MARIA CLARA SOARES MATOS</t>
  </si>
  <si>
    <t xml:space="preserve">MARIA HELENA NASCIMENTO ARAUJO</t>
  </si>
  <si>
    <t xml:space="preserve">MARIA JUSCILEIA SILVA CAMPOS</t>
  </si>
  <si>
    <t xml:space="preserve">MARIA NELLY NUNES CAVALCANTE</t>
  </si>
  <si>
    <t xml:space="preserve">MARLA MIRELE SANTOS SOUZA</t>
  </si>
  <si>
    <t xml:space="preserve">MAYA BERNARDO TELES DE SOUZA</t>
  </si>
  <si>
    <t xml:space="preserve">NAOMI HELOISE RESENDE GOMES</t>
  </si>
  <si>
    <t xml:space="preserve">NYLZA NAYANY PEREIRA MACEDO</t>
  </si>
  <si>
    <t xml:space="preserve">ROGNON ANTONIO DA SILVA</t>
  </si>
  <si>
    <t xml:space="preserve">SAMUEL ARTHUR GOMES DE LIMA</t>
  </si>
  <si>
    <t xml:space="preserve">STEFANY SUANY PEREIRA MACEDO</t>
  </si>
  <si>
    <t xml:space="preserve">YASMIN NECI RODRIGUES CAVALCANTI</t>
  </si>
  <si>
    <t xml:space="preserve">PEDRO HENRIQUE GOMES DA SILVA</t>
  </si>
  <si>
    <t xml:space="preserve">JULIA SCKELEMBERG BEZERRA HEYDRICK</t>
  </si>
  <si>
    <t xml:space="preserve">LUDNANDA CRUZ NOGUEIRA</t>
  </si>
  <si>
    <t xml:space="preserve">No vencimento</t>
  </si>
  <si>
    <t xml:space="preserve">TOTAL GERAL</t>
  </si>
  <si>
    <t xml:space="preserve">RESUMO POR SITUAÇÃO</t>
  </si>
  <si>
    <t xml:space="preserve">Qtd.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</si>
</sst>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DEBF7"/>
      </patternFill>
    </fill>
    <fill>
      <patternFill patternType="solid">
        <fgColor rgb="FFF8CBAD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D9E2F3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customFormat="false" ht="15" hidden="false" customHeight="false" outlineLevel="0" collapsed="false">
      <c r="A6" s="4" t="s">
        <v>9</v>
      </c>
      <c r="B6" s="5" t="n">
        <v>46122</v>
      </c>
      <c r="C6" s="4" t="s">
        <v>10</v>
      </c>
      <c r="D6" s="6" t="n">
        <v>73</v>
      </c>
      <c r="E6" s="7" t="n">
        <v>418.38</v>
      </c>
      <c r="F6" s="6" t="s">
        <v>11</v>
      </c>
    </row>
    <row r="7" customFormat="false" ht="15" hidden="false" customHeight="false" outlineLevel="0" collapsed="false">
      <c r="A7" s="4" t="s">
        <v>12</v>
      </c>
      <c r="B7" s="5" t="n">
        <v>46127</v>
      </c>
      <c r="C7" s="4" t="s">
        <v>10</v>
      </c>
      <c r="D7" s="6" t="n">
        <v>68</v>
      </c>
      <c r="E7" s="7" t="n">
        <v>178.7</v>
      </c>
      <c r="F7" s="6" t="s">
        <v>11</v>
      </c>
    </row>
    <row r="8" customFormat="false" ht="15" hidden="false" customHeight="false" outlineLevel="0" collapsed="false">
      <c r="A8" s="4" t="s">
        <v>13</v>
      </c>
      <c r="B8" s="5" t="n">
        <v>46134</v>
      </c>
      <c r="C8" s="4" t="s">
        <v>10</v>
      </c>
      <c r="D8" s="6" t="n">
        <v>61</v>
      </c>
      <c r="E8" s="7" t="n">
        <v>113.33</v>
      </c>
      <c r="F8" s="6" t="s">
        <v>11</v>
      </c>
    </row>
    <row r="9" customFormat="false" ht="15" hidden="false" customHeight="false" outlineLevel="0" collapsed="false">
      <c r="A9" s="4" t="s">
        <v>14</v>
      </c>
      <c r="B9" s="5" t="n">
        <v>46135</v>
      </c>
      <c r="C9" s="4" t="s">
        <v>10</v>
      </c>
      <c r="D9" s="6" t="n">
        <v>60</v>
      </c>
      <c r="E9" s="7" t="n">
        <v>84.36</v>
      </c>
      <c r="F9" s="6" t="s">
        <v>11</v>
      </c>
    </row>
    <row r="10" customFormat="false" ht="15" hidden="false" customHeight="false" outlineLevel="0" collapsed="false">
      <c r="A10" s="4" t="s">
        <v>9</v>
      </c>
      <c r="B10" s="5" t="n">
        <v>46152</v>
      </c>
      <c r="C10" s="4" t="s">
        <v>15</v>
      </c>
      <c r="D10" s="6" t="n">
        <v>43</v>
      </c>
      <c r="E10" s="7" t="n">
        <v>418.38</v>
      </c>
      <c r="F10" s="6" t="s">
        <v>16</v>
      </c>
    </row>
    <row r="11" customFormat="false" ht="15" hidden="false" customHeight="false" outlineLevel="0" collapsed="false">
      <c r="A11" s="4" t="s">
        <v>17</v>
      </c>
      <c r="B11" s="5" t="n">
        <v>46152</v>
      </c>
      <c r="C11" s="4" t="s">
        <v>15</v>
      </c>
      <c r="D11" s="6" t="n">
        <v>43</v>
      </c>
      <c r="E11" s="7" t="n">
        <v>542.24</v>
      </c>
      <c r="F11" s="6" t="s">
        <v>16</v>
      </c>
    </row>
    <row r="12" customFormat="false" ht="15" hidden="false" customHeight="false" outlineLevel="0" collapsed="false">
      <c r="A12" s="4" t="s">
        <v>18</v>
      </c>
      <c r="B12" s="5" t="n">
        <v>46152</v>
      </c>
      <c r="C12" s="4" t="s">
        <v>15</v>
      </c>
      <c r="D12" s="6" t="n">
        <v>43</v>
      </c>
      <c r="E12" s="7" t="n">
        <v>273.35</v>
      </c>
      <c r="F12" s="6" t="s">
        <v>16</v>
      </c>
    </row>
    <row r="13" customFormat="false" ht="15" hidden="false" customHeight="false" outlineLevel="0" collapsed="false">
      <c r="A13" s="4" t="s">
        <v>19</v>
      </c>
      <c r="B13" s="5" t="n">
        <v>46152</v>
      </c>
      <c r="C13" s="4" t="s">
        <v>15</v>
      </c>
      <c r="D13" s="6" t="n">
        <v>43</v>
      </c>
      <c r="E13" s="7" t="n">
        <v>764.77</v>
      </c>
      <c r="F13" s="6" t="s">
        <v>16</v>
      </c>
    </row>
    <row r="14" customFormat="false" ht="15" hidden="false" customHeight="false" outlineLevel="0" collapsed="false">
      <c r="A14" s="4" t="s">
        <v>20</v>
      </c>
      <c r="B14" s="5" t="n">
        <v>46152</v>
      </c>
      <c r="C14" s="4" t="s">
        <v>15</v>
      </c>
      <c r="D14" s="6" t="n">
        <v>43</v>
      </c>
      <c r="E14" s="7" t="n">
        <v>1013.05</v>
      </c>
      <c r="F14" s="6" t="s">
        <v>16</v>
      </c>
    </row>
    <row r="15" customFormat="false" ht="15" hidden="false" customHeight="false" outlineLevel="0" collapsed="false">
      <c r="A15" s="4" t="s">
        <v>21</v>
      </c>
      <c r="B15" s="5" t="n">
        <v>46152</v>
      </c>
      <c r="C15" s="4" t="s">
        <v>15</v>
      </c>
      <c r="D15" s="6" t="n">
        <v>43</v>
      </c>
      <c r="E15" s="7" t="n">
        <v>277.07</v>
      </c>
      <c r="F15" s="6" t="s">
        <v>16</v>
      </c>
    </row>
    <row r="16" customFormat="false" ht="15" hidden="false" customHeight="false" outlineLevel="0" collapsed="false">
      <c r="A16" s="4" t="s">
        <v>22</v>
      </c>
      <c r="B16" s="5" t="n">
        <v>46152</v>
      </c>
      <c r="C16" s="4" t="s">
        <v>15</v>
      </c>
      <c r="D16" s="6" t="n">
        <v>43</v>
      </c>
      <c r="E16" s="7" t="n">
        <v>335.06</v>
      </c>
      <c r="F16" s="6" t="s">
        <v>16</v>
      </c>
    </row>
    <row r="17" customFormat="false" ht="15" hidden="false" customHeight="false" outlineLevel="0" collapsed="false">
      <c r="A17" s="4" t="s">
        <v>23</v>
      </c>
      <c r="B17" s="5" t="n">
        <v>46152</v>
      </c>
      <c r="C17" s="4" t="s">
        <v>15</v>
      </c>
      <c r="D17" s="6" t="n">
        <v>43</v>
      </c>
      <c r="E17" s="7" t="n">
        <v>763.27</v>
      </c>
      <c r="F17" s="6" t="s">
        <v>16</v>
      </c>
    </row>
    <row r="18" customFormat="false" ht="15" hidden="false" customHeight="false" outlineLevel="0" collapsed="false">
      <c r="A18" s="4" t="s">
        <v>24</v>
      </c>
      <c r="B18" s="5" t="n">
        <v>46152</v>
      </c>
      <c r="C18" s="4" t="s">
        <v>15</v>
      </c>
      <c r="D18" s="6" t="n">
        <v>43</v>
      </c>
      <c r="E18" s="7" t="n">
        <v>243.35</v>
      </c>
      <c r="F18" s="6" t="s">
        <v>16</v>
      </c>
    </row>
    <row r="19" customFormat="false" ht="15" hidden="false" customHeight="false" outlineLevel="0" collapsed="false">
      <c r="A19" s="4" t="s">
        <v>25</v>
      </c>
      <c r="B19" s="5" t="n">
        <v>46152</v>
      </c>
      <c r="C19" s="4" t="s">
        <v>15</v>
      </c>
      <c r="D19" s="6" t="n">
        <v>43</v>
      </c>
      <c r="E19" s="7" t="n">
        <v>600.15</v>
      </c>
      <c r="F19" s="6" t="s">
        <v>16</v>
      </c>
    </row>
    <row r="20" customFormat="false" ht="15" hidden="false" customHeight="false" outlineLevel="0" collapsed="false">
      <c r="A20" s="4" t="s">
        <v>26</v>
      </c>
      <c r="B20" s="5" t="n">
        <v>46162</v>
      </c>
      <c r="C20" s="4" t="s">
        <v>15</v>
      </c>
      <c r="D20" s="6" t="n">
        <v>33</v>
      </c>
      <c r="E20" s="7" t="n">
        <v>140.51</v>
      </c>
      <c r="F20" s="6" t="s">
        <v>16</v>
      </c>
    </row>
    <row r="21" customFormat="false" ht="15" hidden="false" customHeight="false" outlineLevel="0" collapsed="false">
      <c r="A21" s="4" t="s">
        <v>27</v>
      </c>
      <c r="B21" s="5" t="n">
        <v>46165</v>
      </c>
      <c r="C21" s="4" t="s">
        <v>15</v>
      </c>
      <c r="D21" s="6" t="n">
        <v>30</v>
      </c>
      <c r="E21" s="7" t="n">
        <v>117.95</v>
      </c>
      <c r="F21" s="6" t="s">
        <v>16</v>
      </c>
    </row>
    <row r="22" customFormat="false" ht="15" hidden="false" customHeight="false" outlineLevel="0" collapsed="false">
      <c r="A22" s="4" t="s">
        <v>28</v>
      </c>
      <c r="B22" s="5" t="n">
        <v>46165</v>
      </c>
      <c r="C22" s="4" t="s">
        <v>15</v>
      </c>
      <c r="D22" s="6" t="n">
        <v>30</v>
      </c>
      <c r="E22" s="7" t="n">
        <v>124.76</v>
      </c>
      <c r="F22" s="6" t="s">
        <v>16</v>
      </c>
    </row>
    <row r="23" customFormat="false" ht="15" hidden="false" customHeight="false" outlineLevel="0" collapsed="false">
      <c r="A23" s="4" t="s">
        <v>29</v>
      </c>
      <c r="B23" s="5" t="n">
        <v>46165</v>
      </c>
      <c r="C23" s="4" t="s">
        <v>15</v>
      </c>
      <c r="D23" s="6" t="n">
        <v>30</v>
      </c>
      <c r="E23" s="7" t="n">
        <v>107.98</v>
      </c>
      <c r="F23" s="6" t="s">
        <v>16</v>
      </c>
    </row>
    <row r="24" customFormat="false" ht="15" hidden="false" customHeight="false" outlineLevel="0" collapsed="false">
      <c r="A24" s="4" t="s">
        <v>30</v>
      </c>
      <c r="B24" s="5" t="n">
        <v>46183</v>
      </c>
      <c r="C24" s="4" t="s">
        <v>31</v>
      </c>
      <c r="D24" s="6" t="n">
        <v>12</v>
      </c>
      <c r="E24" s="7" t="n">
        <v>234.29</v>
      </c>
      <c r="F24" s="6" t="s">
        <v>32</v>
      </c>
    </row>
    <row r="25" customFormat="false" ht="15" hidden="false" customHeight="false" outlineLevel="0" collapsed="false">
      <c r="A25" s="4" t="s">
        <v>33</v>
      </c>
      <c r="B25" s="5" t="n">
        <v>46183</v>
      </c>
      <c r="C25" s="4" t="s">
        <v>31</v>
      </c>
      <c r="D25" s="6" t="n">
        <v>12</v>
      </c>
      <c r="E25" s="7" t="n">
        <v>303.42</v>
      </c>
      <c r="F25" s="6" t="s">
        <v>32</v>
      </c>
    </row>
    <row r="26" customFormat="false" ht="15" hidden="false" customHeight="false" outlineLevel="0" collapsed="false">
      <c r="A26" s="4" t="s">
        <v>34</v>
      </c>
      <c r="B26" s="5" t="n">
        <v>46183</v>
      </c>
      <c r="C26" s="4" t="s">
        <v>31</v>
      </c>
      <c r="D26" s="6" t="n">
        <v>12</v>
      </c>
      <c r="E26" s="7" t="n">
        <v>449.06</v>
      </c>
      <c r="F26" s="6" t="s">
        <v>32</v>
      </c>
    </row>
    <row r="27" customFormat="false" ht="15" hidden="false" customHeight="false" outlineLevel="0" collapsed="false">
      <c r="A27" s="4" t="s">
        <v>35</v>
      </c>
      <c r="B27" s="5" t="n">
        <v>46183</v>
      </c>
      <c r="C27" s="4" t="s">
        <v>31</v>
      </c>
      <c r="D27" s="6" t="n">
        <v>12</v>
      </c>
      <c r="E27" s="7" t="n">
        <v>495.09</v>
      </c>
      <c r="F27" s="6" t="s">
        <v>32</v>
      </c>
    </row>
    <row r="28" customFormat="false" ht="15" hidden="false" customHeight="false" outlineLevel="0" collapsed="false">
      <c r="A28" s="4" t="s">
        <v>36</v>
      </c>
      <c r="B28" s="5" t="n">
        <v>46183</v>
      </c>
      <c r="C28" s="4" t="s">
        <v>31</v>
      </c>
      <c r="D28" s="6" t="n">
        <v>12</v>
      </c>
      <c r="E28" s="7" t="n">
        <v>309.09</v>
      </c>
      <c r="F28" s="6" t="s">
        <v>32</v>
      </c>
    </row>
    <row r="29" customFormat="false" ht="15" hidden="false" customHeight="false" outlineLevel="0" collapsed="false">
      <c r="A29" s="4" t="s">
        <v>37</v>
      </c>
      <c r="B29" s="5" t="n">
        <v>46183</v>
      </c>
      <c r="C29" s="4" t="s">
        <v>31</v>
      </c>
      <c r="D29" s="6" t="n">
        <v>12</v>
      </c>
      <c r="E29" s="7" t="n">
        <v>321.83</v>
      </c>
      <c r="F29" s="6" t="s">
        <v>32</v>
      </c>
    </row>
    <row r="30" customFormat="false" ht="15" hidden="false" customHeight="false" outlineLevel="0" collapsed="false">
      <c r="A30" s="4" t="s">
        <v>38</v>
      </c>
      <c r="B30" s="5" t="n">
        <v>46183</v>
      </c>
      <c r="C30" s="4" t="s">
        <v>31</v>
      </c>
      <c r="D30" s="6" t="n">
        <v>12</v>
      </c>
      <c r="E30" s="7" t="n">
        <v>792.19</v>
      </c>
      <c r="F30" s="6" t="s">
        <v>32</v>
      </c>
    </row>
    <row r="31" customFormat="false" ht="15" hidden="false" customHeight="false" outlineLevel="0" collapsed="false">
      <c r="A31" s="4" t="s">
        <v>39</v>
      </c>
      <c r="B31" s="5" t="n">
        <v>46183</v>
      </c>
      <c r="C31" s="4" t="s">
        <v>31</v>
      </c>
      <c r="D31" s="6" t="n">
        <v>12</v>
      </c>
      <c r="E31" s="7" t="n">
        <v>573.65</v>
      </c>
      <c r="F31" s="6" t="s">
        <v>32</v>
      </c>
    </row>
    <row r="32" customFormat="false" ht="15" hidden="false" customHeight="false" outlineLevel="0" collapsed="false">
      <c r="A32" s="4" t="s">
        <v>40</v>
      </c>
      <c r="B32" s="5" t="n">
        <v>46183</v>
      </c>
      <c r="C32" s="4" t="s">
        <v>31</v>
      </c>
      <c r="D32" s="6" t="n">
        <v>12</v>
      </c>
      <c r="E32" s="7" t="n">
        <v>545.83</v>
      </c>
      <c r="F32" s="6" t="s">
        <v>32</v>
      </c>
    </row>
    <row r="33" customFormat="false" ht="15" hidden="false" customHeight="false" outlineLevel="0" collapsed="false">
      <c r="A33" s="4" t="s">
        <v>17</v>
      </c>
      <c r="B33" s="5" t="n">
        <v>46183</v>
      </c>
      <c r="C33" s="4" t="s">
        <v>31</v>
      </c>
      <c r="D33" s="6" t="n">
        <v>12</v>
      </c>
      <c r="E33" s="7" t="n">
        <v>536.24</v>
      </c>
      <c r="F33" s="6" t="s">
        <v>32</v>
      </c>
    </row>
    <row r="34" customFormat="false" ht="15" hidden="false" customHeight="false" outlineLevel="0" collapsed="false">
      <c r="A34" s="4" t="s">
        <v>18</v>
      </c>
      <c r="B34" s="5" t="n">
        <v>46183</v>
      </c>
      <c r="C34" s="4" t="s">
        <v>31</v>
      </c>
      <c r="D34" s="6" t="n">
        <v>12</v>
      </c>
      <c r="E34" s="7" t="n">
        <v>243.35</v>
      </c>
      <c r="F34" s="6" t="s">
        <v>32</v>
      </c>
    </row>
    <row r="35" customFormat="false" ht="15" hidden="false" customHeight="false" outlineLevel="0" collapsed="false">
      <c r="A35" s="4" t="s">
        <v>41</v>
      </c>
      <c r="B35" s="5" t="n">
        <v>46183</v>
      </c>
      <c r="C35" s="4" t="s">
        <v>31</v>
      </c>
      <c r="D35" s="6" t="n">
        <v>12</v>
      </c>
      <c r="E35" s="7" t="n">
        <v>589.61</v>
      </c>
      <c r="F35" s="6" t="s">
        <v>32</v>
      </c>
    </row>
    <row r="36" customFormat="false" ht="15" hidden="false" customHeight="false" outlineLevel="0" collapsed="false">
      <c r="A36" s="4" t="s">
        <v>42</v>
      </c>
      <c r="B36" s="5" t="n">
        <v>46183</v>
      </c>
      <c r="C36" s="4" t="s">
        <v>31</v>
      </c>
      <c r="D36" s="6" t="n">
        <v>12</v>
      </c>
      <c r="E36" s="7" t="n">
        <v>311.53</v>
      </c>
      <c r="F36" s="6" t="s">
        <v>32</v>
      </c>
    </row>
    <row r="37" customFormat="false" ht="15" hidden="false" customHeight="false" outlineLevel="0" collapsed="false">
      <c r="A37" s="4" t="s">
        <v>43</v>
      </c>
      <c r="B37" s="5" t="n">
        <v>46183</v>
      </c>
      <c r="C37" s="4" t="s">
        <v>31</v>
      </c>
      <c r="D37" s="6" t="n">
        <v>12</v>
      </c>
      <c r="E37" s="7" t="n">
        <v>707.19</v>
      </c>
      <c r="F37" s="6" t="s">
        <v>32</v>
      </c>
    </row>
    <row r="38" customFormat="false" ht="15" hidden="false" customHeight="false" outlineLevel="0" collapsed="false">
      <c r="A38" s="4" t="s">
        <v>44</v>
      </c>
      <c r="B38" s="5" t="n">
        <v>46183</v>
      </c>
      <c r="C38" s="4" t="s">
        <v>31</v>
      </c>
      <c r="D38" s="6" t="n">
        <v>12</v>
      </c>
      <c r="E38" s="7" t="n">
        <v>436.48</v>
      </c>
      <c r="F38" s="6" t="s">
        <v>32</v>
      </c>
    </row>
    <row r="39" customFormat="false" ht="15" hidden="false" customHeight="false" outlineLevel="0" collapsed="false">
      <c r="A39" s="4" t="s">
        <v>45</v>
      </c>
      <c r="B39" s="5" t="n">
        <v>46183</v>
      </c>
      <c r="C39" s="4" t="s">
        <v>31</v>
      </c>
      <c r="D39" s="6" t="n">
        <v>12</v>
      </c>
      <c r="E39" s="7" t="n">
        <v>365.63</v>
      </c>
      <c r="F39" s="6" t="s">
        <v>32</v>
      </c>
    </row>
    <row r="40" customFormat="false" ht="15" hidden="false" customHeight="false" outlineLevel="0" collapsed="false">
      <c r="A40" s="4" t="s">
        <v>46</v>
      </c>
      <c r="B40" s="5" t="n">
        <v>46183</v>
      </c>
      <c r="C40" s="4" t="s">
        <v>31</v>
      </c>
      <c r="D40" s="6" t="n">
        <v>12</v>
      </c>
      <c r="E40" s="7" t="n">
        <v>461.56</v>
      </c>
      <c r="F40" s="6" t="s">
        <v>32</v>
      </c>
    </row>
    <row r="41" customFormat="false" ht="15" hidden="false" customHeight="false" outlineLevel="0" collapsed="false">
      <c r="A41" s="4" t="s">
        <v>21</v>
      </c>
      <c r="B41" s="5" t="n">
        <v>46183</v>
      </c>
      <c r="C41" s="4" t="s">
        <v>31</v>
      </c>
      <c r="D41" s="6" t="n">
        <v>12</v>
      </c>
      <c r="E41" s="7" t="n">
        <v>277.07</v>
      </c>
      <c r="F41" s="6" t="s">
        <v>32</v>
      </c>
    </row>
    <row r="42" customFormat="false" ht="15" hidden="false" customHeight="false" outlineLevel="0" collapsed="false">
      <c r="A42" s="4" t="s">
        <v>47</v>
      </c>
      <c r="B42" s="5" t="n">
        <v>46183</v>
      </c>
      <c r="C42" s="4" t="s">
        <v>31</v>
      </c>
      <c r="D42" s="6" t="n">
        <v>12</v>
      </c>
      <c r="E42" s="7" t="n">
        <v>395.66</v>
      </c>
      <c r="F42" s="6" t="s">
        <v>32</v>
      </c>
    </row>
    <row r="43" customFormat="false" ht="15" hidden="false" customHeight="false" outlineLevel="0" collapsed="false">
      <c r="A43" s="4" t="s">
        <v>48</v>
      </c>
      <c r="B43" s="5" t="n">
        <v>46183</v>
      </c>
      <c r="C43" s="4" t="s">
        <v>31</v>
      </c>
      <c r="D43" s="6" t="n">
        <v>12</v>
      </c>
      <c r="E43" s="7" t="n">
        <v>760.97</v>
      </c>
      <c r="F43" s="6" t="s">
        <v>32</v>
      </c>
    </row>
    <row r="44" customFormat="false" ht="15" hidden="false" customHeight="false" outlineLevel="0" collapsed="false">
      <c r="A44" s="4" t="s">
        <v>49</v>
      </c>
      <c r="B44" s="5" t="n">
        <v>46183</v>
      </c>
      <c r="C44" s="4" t="s">
        <v>31</v>
      </c>
      <c r="D44" s="6" t="n">
        <v>12</v>
      </c>
      <c r="E44" s="7" t="n">
        <v>352.36</v>
      </c>
      <c r="F44" s="6" t="s">
        <v>32</v>
      </c>
    </row>
    <row r="45" customFormat="false" ht="15" hidden="false" customHeight="false" outlineLevel="0" collapsed="false">
      <c r="A45" s="4" t="s">
        <v>50</v>
      </c>
      <c r="B45" s="5" t="n">
        <v>46183</v>
      </c>
      <c r="C45" s="4" t="s">
        <v>31</v>
      </c>
      <c r="D45" s="6" t="n">
        <v>12</v>
      </c>
      <c r="E45" s="7" t="n">
        <v>957.89</v>
      </c>
      <c r="F45" s="6" t="s">
        <v>32</v>
      </c>
    </row>
    <row r="46" customFormat="false" ht="15" hidden="false" customHeight="false" outlineLevel="0" collapsed="false">
      <c r="A46" s="4" t="s">
        <v>51</v>
      </c>
      <c r="B46" s="5" t="n">
        <v>46183</v>
      </c>
      <c r="C46" s="4" t="s">
        <v>31</v>
      </c>
      <c r="D46" s="6" t="n">
        <v>12</v>
      </c>
      <c r="E46" s="7" t="n">
        <v>277.07</v>
      </c>
      <c r="F46" s="6" t="s">
        <v>32</v>
      </c>
    </row>
    <row r="47" customFormat="false" ht="15" hidden="false" customHeight="false" outlineLevel="0" collapsed="false">
      <c r="A47" s="4" t="s">
        <v>52</v>
      </c>
      <c r="B47" s="5" t="n">
        <v>46183</v>
      </c>
      <c r="C47" s="4" t="s">
        <v>31</v>
      </c>
      <c r="D47" s="6" t="n">
        <v>12</v>
      </c>
      <c r="E47" s="7" t="n">
        <v>761.29</v>
      </c>
      <c r="F47" s="6" t="s">
        <v>32</v>
      </c>
    </row>
    <row r="48" customFormat="false" ht="15" hidden="false" customHeight="false" outlineLevel="0" collapsed="false">
      <c r="A48" s="4" t="s">
        <v>53</v>
      </c>
      <c r="B48" s="5" t="n">
        <v>46183</v>
      </c>
      <c r="C48" s="4" t="s">
        <v>31</v>
      </c>
      <c r="D48" s="6" t="n">
        <v>12</v>
      </c>
      <c r="E48" s="7" t="n">
        <v>386.76</v>
      </c>
      <c r="F48" s="6" t="s">
        <v>32</v>
      </c>
    </row>
    <row r="49" customFormat="false" ht="15" hidden="false" customHeight="false" outlineLevel="0" collapsed="false">
      <c r="A49" s="4" t="s">
        <v>54</v>
      </c>
      <c r="B49" s="5" t="n">
        <v>46183</v>
      </c>
      <c r="C49" s="4" t="s">
        <v>31</v>
      </c>
      <c r="D49" s="6" t="n">
        <v>12</v>
      </c>
      <c r="E49" s="7" t="n">
        <v>436.48</v>
      </c>
      <c r="F49" s="6" t="s">
        <v>32</v>
      </c>
    </row>
    <row r="50" customFormat="false" ht="15" hidden="false" customHeight="false" outlineLevel="0" collapsed="false">
      <c r="A50" s="4" t="s">
        <v>55</v>
      </c>
      <c r="B50" s="5" t="n">
        <v>46183</v>
      </c>
      <c r="C50" s="4" t="s">
        <v>31</v>
      </c>
      <c r="D50" s="6" t="n">
        <v>12</v>
      </c>
      <c r="E50" s="7" t="n">
        <v>334.73</v>
      </c>
      <c r="F50" s="6" t="s">
        <v>32</v>
      </c>
    </row>
    <row r="51" customFormat="false" ht="15" hidden="false" customHeight="false" outlineLevel="0" collapsed="false">
      <c r="A51" s="4" t="s">
        <v>56</v>
      </c>
      <c r="B51" s="5" t="n">
        <v>46183</v>
      </c>
      <c r="C51" s="4" t="s">
        <v>31</v>
      </c>
      <c r="D51" s="6" t="n">
        <v>12</v>
      </c>
      <c r="E51" s="7" t="n">
        <v>386.76</v>
      </c>
      <c r="F51" s="6" t="s">
        <v>32</v>
      </c>
    </row>
    <row r="52" customFormat="false" ht="15" hidden="false" customHeight="false" outlineLevel="0" collapsed="false">
      <c r="A52" s="4" t="s">
        <v>57</v>
      </c>
      <c r="B52" s="5" t="n">
        <v>46183</v>
      </c>
      <c r="C52" s="4" t="s">
        <v>31</v>
      </c>
      <c r="D52" s="6" t="n">
        <v>12</v>
      </c>
      <c r="E52" s="7" t="n">
        <v>363.81</v>
      </c>
      <c r="F52" s="6" t="s">
        <v>32</v>
      </c>
    </row>
    <row r="53" customFormat="false" ht="15" hidden="false" customHeight="false" outlineLevel="0" collapsed="false">
      <c r="A53" s="4" t="s">
        <v>28</v>
      </c>
      <c r="B53" s="5" t="n">
        <v>46183</v>
      </c>
      <c r="C53" s="4" t="s">
        <v>31</v>
      </c>
      <c r="D53" s="6" t="n">
        <v>12</v>
      </c>
      <c r="E53" s="7" t="n">
        <v>386.76</v>
      </c>
      <c r="F53" s="6" t="s">
        <v>32</v>
      </c>
    </row>
    <row r="54" customFormat="false" ht="15" hidden="false" customHeight="false" outlineLevel="0" collapsed="false">
      <c r="A54" s="4" t="s">
        <v>58</v>
      </c>
      <c r="B54" s="5" t="n">
        <v>46183</v>
      </c>
      <c r="C54" s="4" t="s">
        <v>31</v>
      </c>
      <c r="D54" s="6" t="n">
        <v>12</v>
      </c>
      <c r="E54" s="7" t="n">
        <v>316.36</v>
      </c>
      <c r="F54" s="6" t="s">
        <v>32</v>
      </c>
    </row>
    <row r="55" customFormat="false" ht="15" hidden="false" customHeight="false" outlineLevel="0" collapsed="false">
      <c r="A55" s="4" t="s">
        <v>59</v>
      </c>
      <c r="B55" s="5" t="n">
        <v>46183</v>
      </c>
      <c r="C55" s="4" t="s">
        <v>31</v>
      </c>
      <c r="D55" s="6" t="n">
        <v>12</v>
      </c>
      <c r="E55" s="7" t="n">
        <v>491.96</v>
      </c>
      <c r="F55" s="6" t="s">
        <v>32</v>
      </c>
    </row>
    <row r="56" customFormat="false" ht="15" hidden="false" customHeight="false" outlineLevel="0" collapsed="false">
      <c r="A56" s="4" t="s">
        <v>60</v>
      </c>
      <c r="B56" s="5" t="n">
        <v>46183</v>
      </c>
      <c r="C56" s="4" t="s">
        <v>31</v>
      </c>
      <c r="D56" s="6" t="n">
        <v>12</v>
      </c>
      <c r="E56" s="7" t="n">
        <v>363.81</v>
      </c>
      <c r="F56" s="6" t="s">
        <v>32</v>
      </c>
    </row>
    <row r="57" customFormat="false" ht="15" hidden="false" customHeight="false" outlineLevel="0" collapsed="false">
      <c r="A57" s="4" t="s">
        <v>61</v>
      </c>
      <c r="B57" s="5" t="n">
        <v>46183</v>
      </c>
      <c r="C57" s="4" t="s">
        <v>31</v>
      </c>
      <c r="D57" s="6" t="n">
        <v>12</v>
      </c>
      <c r="E57" s="7" t="n">
        <v>734.74</v>
      </c>
      <c r="F57" s="6" t="s">
        <v>32</v>
      </c>
    </row>
    <row r="58" customFormat="false" ht="15" hidden="false" customHeight="false" outlineLevel="0" collapsed="false">
      <c r="A58" s="4" t="s">
        <v>62</v>
      </c>
      <c r="B58" s="5" t="n">
        <v>46183</v>
      </c>
      <c r="C58" s="4" t="s">
        <v>31</v>
      </c>
      <c r="D58" s="6" t="n">
        <v>12</v>
      </c>
      <c r="E58" s="7" t="n">
        <v>316.36</v>
      </c>
      <c r="F58" s="6" t="s">
        <v>32</v>
      </c>
    </row>
    <row r="59" customFormat="false" ht="15" hidden="false" customHeight="false" outlineLevel="0" collapsed="false">
      <c r="A59" s="4" t="s">
        <v>24</v>
      </c>
      <c r="B59" s="5" t="n">
        <v>46183</v>
      </c>
      <c r="C59" s="4" t="s">
        <v>31</v>
      </c>
      <c r="D59" s="6" t="n">
        <v>12</v>
      </c>
      <c r="E59" s="7" t="n">
        <v>243.35</v>
      </c>
      <c r="F59" s="6" t="s">
        <v>32</v>
      </c>
    </row>
    <row r="60" customFormat="false" ht="15" hidden="false" customHeight="false" outlineLevel="0" collapsed="false">
      <c r="A60" s="4" t="s">
        <v>63</v>
      </c>
      <c r="B60" s="5" t="n">
        <v>46183</v>
      </c>
      <c r="C60" s="4" t="s">
        <v>31</v>
      </c>
      <c r="D60" s="6" t="n">
        <v>12</v>
      </c>
      <c r="E60" s="7" t="n">
        <v>378.89</v>
      </c>
      <c r="F60" s="6" t="s">
        <v>32</v>
      </c>
    </row>
    <row r="61" customFormat="false" ht="15" hidden="false" customHeight="false" outlineLevel="0" collapsed="false">
      <c r="A61" s="4" t="s">
        <v>64</v>
      </c>
      <c r="B61" s="5" t="n">
        <v>46183</v>
      </c>
      <c r="C61" s="4" t="s">
        <v>31</v>
      </c>
      <c r="D61" s="6" t="n">
        <v>12</v>
      </c>
      <c r="E61" s="7" t="n">
        <v>309.09</v>
      </c>
      <c r="F61" s="6" t="s">
        <v>32</v>
      </c>
    </row>
    <row r="62" customFormat="false" ht="15" hidden="false" customHeight="false" outlineLevel="0" collapsed="false">
      <c r="A62" s="4" t="s">
        <v>65</v>
      </c>
      <c r="B62" s="5" t="n">
        <v>46183</v>
      </c>
      <c r="C62" s="4" t="s">
        <v>31</v>
      </c>
      <c r="D62" s="6" t="n">
        <v>12</v>
      </c>
      <c r="E62" s="7" t="n">
        <v>413.91</v>
      </c>
      <c r="F62" s="6" t="s">
        <v>32</v>
      </c>
    </row>
    <row r="63" customFormat="false" ht="15" hidden="false" customHeight="false" outlineLevel="0" collapsed="false">
      <c r="A63" s="4" t="s">
        <v>66</v>
      </c>
      <c r="B63" s="5" t="n">
        <v>46183</v>
      </c>
      <c r="C63" s="4" t="s">
        <v>31</v>
      </c>
      <c r="D63" s="6" t="n">
        <v>12</v>
      </c>
      <c r="E63" s="7" t="n">
        <v>316.36</v>
      </c>
      <c r="F63" s="6" t="s">
        <v>32</v>
      </c>
    </row>
    <row r="64" customFormat="false" ht="15" hidden="false" customHeight="false" outlineLevel="0" collapsed="false">
      <c r="A64" s="4" t="s">
        <v>67</v>
      </c>
      <c r="B64" s="5" t="n">
        <v>46183</v>
      </c>
      <c r="C64" s="4" t="s">
        <v>31</v>
      </c>
      <c r="D64" s="6" t="n">
        <v>12</v>
      </c>
      <c r="E64" s="7" t="n">
        <v>309.9</v>
      </c>
      <c r="F64" s="6" t="s">
        <v>32</v>
      </c>
    </row>
    <row r="65" customFormat="false" ht="15" hidden="false" customHeight="false" outlineLevel="0" collapsed="false">
      <c r="A65" s="4" t="s">
        <v>68</v>
      </c>
      <c r="B65" s="5" t="n">
        <v>46183</v>
      </c>
      <c r="C65" s="4" t="s">
        <v>31</v>
      </c>
      <c r="D65" s="6" t="n">
        <v>12</v>
      </c>
      <c r="E65" s="7" t="n">
        <v>864.35</v>
      </c>
      <c r="F65" s="6" t="s">
        <v>32</v>
      </c>
    </row>
    <row r="66" customFormat="false" ht="15" hidden="false" customHeight="false" outlineLevel="0" collapsed="false">
      <c r="A66" s="4" t="s">
        <v>69</v>
      </c>
      <c r="B66" s="5" t="n">
        <v>46188</v>
      </c>
      <c r="C66" s="4" t="s">
        <v>10</v>
      </c>
      <c r="D66" s="6" t="n">
        <v>7</v>
      </c>
      <c r="E66" s="7" t="n">
        <v>253.5</v>
      </c>
      <c r="F66" s="6" t="s">
        <v>32</v>
      </c>
    </row>
    <row r="67" customFormat="false" ht="15" hidden="false" customHeight="false" outlineLevel="0" collapsed="false">
      <c r="A67" s="4" t="s">
        <v>70</v>
      </c>
      <c r="B67" s="5" t="n">
        <v>46192</v>
      </c>
      <c r="C67" s="4" t="s">
        <v>31</v>
      </c>
      <c r="D67" s="6" t="n">
        <v>3</v>
      </c>
      <c r="E67" s="7" t="n">
        <v>179.62</v>
      </c>
      <c r="F67" s="6" t="s">
        <v>32</v>
      </c>
    </row>
    <row r="68" customFormat="false" ht="15" hidden="false" customHeight="false" outlineLevel="0" collapsed="false">
      <c r="A68" s="4" t="s">
        <v>71</v>
      </c>
      <c r="B68" s="5" t="n">
        <v>46193</v>
      </c>
      <c r="C68" s="4" t="s">
        <v>31</v>
      </c>
      <c r="D68" s="6" t="n">
        <v>0</v>
      </c>
      <c r="E68" s="7" t="n">
        <v>491.96</v>
      </c>
      <c r="F68" s="6" t="s">
        <v>72</v>
      </c>
    </row>
    <row r="70" customFormat="false" ht="15" hidden="false" customHeight="false" outlineLevel="0" collapsed="false">
      <c r="A70" s="8" t="s">
        <v>73</v>
      </c>
      <c r="D70" s="9" t="n">
        <f aca="false">COUNTA(A6:A68)</f>
        <v>63</v>
      </c>
      <c r="E70" s="10" t="n">
        <f aca="false">SUM(E6:E68)</f>
        <v>26254.47</v>
      </c>
    </row>
    <row r="72" customFormat="false" ht="15" hidden="false" customHeight="false" outlineLevel="0" collapsed="false">
      <c r="A72" s="11" t="s">
        <v>74</v>
      </c>
    </row>
    <row r="73" customFormat="false" ht="15" hidden="false" customHeight="false" outlineLevel="0" collapsed="false">
      <c r="A73" s="12" t="s">
        <v>8</v>
      </c>
      <c r="B73" s="12" t="s">
        <v>75</v>
      </c>
      <c r="C73" s="12" t="s">
        <v>7</v>
      </c>
    </row>
    <row r="74" customFormat="false" ht="15" hidden="false" customHeight="false" outlineLevel="0" collapsed="false">
      <c r="A74" s="13" t="s">
        <v>11</v>
      </c>
      <c r="B74" s="14" t="n">
        <f aca="false">COUNTIF(F6:F68,"Crítico")</f>
        <v>4</v>
      </c>
      <c r="C74" s="15" t="n">
        <f aca="false">SUMIF(F6:F68,"Crítico",E6:E68)</f>
        <v>794.77</v>
      </c>
    </row>
    <row r="75" customFormat="false" ht="15" hidden="false" customHeight="false" outlineLevel="0" collapsed="false">
      <c r="A75" s="16" t="s">
        <v>16</v>
      </c>
      <c r="B75" s="17" t="n">
        <f aca="false">COUNTIF(F6:F68,"Atenção")</f>
        <v>14</v>
      </c>
      <c r="C75" s="18" t="n">
        <f aca="false">SUMIF(F6:F68,"Atenção",E6:E68)</f>
        <v>5721.89</v>
      </c>
    </row>
    <row r="76" customFormat="false" ht="15" hidden="false" customHeight="false" outlineLevel="0" collapsed="false">
      <c r="A76" s="19" t="s">
        <v>32</v>
      </c>
      <c r="B76" s="20" t="n">
        <f aca="false">COUNTIF(F6:F68,"Recente")</f>
        <v>44</v>
      </c>
      <c r="C76" s="21" t="n">
        <f aca="false">SUMIF(F6:F68,"Recente",E6:E68)</f>
        <v>19245.85</v>
      </c>
    </row>
    <row r="77" customFormat="false" ht="15" hidden="false" customHeight="false" outlineLevel="0" collapsed="false">
      <c r="A77" s="22" t="s">
        <v>72</v>
      </c>
      <c r="B77" s="23" t="n">
        <f aca="false">COUNTIF(F6:F68,"No vencimento")</f>
        <v>1</v>
      </c>
      <c r="C77" s="24" t="n">
        <f aca="false">SUMIF(F6:F68,"No vencimento",E6:E68)</f>
        <v>491.96</v>
      </c>
    </row>
  </sheetData>
  <mergeCells count="3">
    <mergeCell ref="A1:F1"/>
    <mergeCell ref="A2:F2"/>
    <mergeCell ref="A3:F3"/>
  </mergeCells>
  <conditionalFormatting sqref="F6:F68">
    <cfRule type="cellIs" priority="2" operator="equal" aboveAverage="0" equalAverage="0" bottom="0" percent="0" rank="0" text="" dxfId="0">
      <formula>"Crítico"</formula>
    </cfRule>
    <cfRule type="cellIs" priority="3" operator="equal" aboveAverage="0" equalAverage="0" bottom="0" percent="0" rank="0" text="" dxfId="1">
      <formula>"Atenção"</formula>
    </cfRule>
    <cfRule type="cellIs" priority="4" operator="equal" aboveAverage="0" equalAverage="0" bottom="0" percent="0" rank="0" text="" dxfId="2">
      <formula>"Recente"</formula>
    </cfRule>
    <cfRule type="cellIs" priority="5" operator="equal" aboveAverage="0" equalAverage="0" bottom="0" percent="0" rank="0" text="" dxfId="3">
      <formula>"No vencimento"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2026-07-04T07:45:14Z</dcterms:created>
  <dc:creator>openpyxl</dc:creator>
  <dc:description/>
  <dc:language>en-US</dc:language>
  <cp:lastModifiedBy/>
  <dcterms:modified xsi:type="dcterms:W3CDTF">2026-07-04T07:45:14Z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