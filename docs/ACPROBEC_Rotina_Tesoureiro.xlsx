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Rotina Semanal" sheetId="2" state="visible" r:id="rId4"/>
    <sheet name="Calendário Mensal" sheetId="3" state="visible" r:id="rId5"/>
    <sheet name="Apresentação Financeira" sheetId="4" state="visible" r:id="rId6"/>
    <sheet name="Provisionamento" sheetId="5" state="visible" r:id="rId7"/>
    <sheet name="Controle de Despesas" sheetId="6" state="visible" r:id="rId8"/>
    <sheet name="Inadimplência" sheetId="7" state="visible" r:id="rId9"/>
    <sheet name="Conciliação Bancária" sheetId="8" state="visible" r:id="rId10"/>
    <sheet name="Outras Atribuições" sheetId="9" state="visible" r:id="rId11"/>
    <sheet name="Prestação de Cont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<sst xmlns="http://schemas.openxmlformats.org/spreadsheetml/2006/main" count="513" uniqueCount="329">
  <si>
    <t xml:space="preserve">ROTINA DO TESOUREIRO — ACPROBEC</t>
  </si>
  <si>
    <t xml:space="preserve">Organização da rotina, calendário mensal e controle financeiro com base no Organograma de Governança da ACPROBEC</t>
  </si>
  <si>
    <t xml:space="preserve">RESPONSÁVEL E ESCOPO DO CARGO</t>
  </si>
  <si>
    <t xml:space="preserve">Responsável</t>
  </si>
  <si>
    <t xml:space="preserve">Bruno Ribeiro Santos de Matos</t>
  </si>
  <si>
    <t xml:space="preserve">Cargo</t>
  </si>
  <si>
    <t xml:space="preserve">Tesoureiro — Diretoria Executiva</t>
  </si>
  <si>
    <t xml:space="preserve">Horário de trabalho no cargo</t>
  </si>
  <si>
    <t xml:space="preserve">Terça a Sexta-feira, 08:30 às 13:30 (5h/dia)</t>
  </si>
  <si>
    <t xml:space="preserve">Reunião financeira mensal com a Diretoria</t>
  </si>
  <si>
    <t xml:space="preserve">Dia fixo: todo dia 5 de cada mês</t>
  </si>
  <si>
    <t xml:space="preserve">Base normativa</t>
  </si>
  <si>
    <t xml:space="preserve">Organograma de Governança da ACPROBEC, item 7 (Tesoureiro) e item 9 (Centro de Custo)</t>
  </si>
  <si>
    <t xml:space="preserve">GUIA DAS ABAS DESTE ARQUIVO</t>
  </si>
  <si>
    <t xml:space="preserve">Rotina Semanal</t>
  </si>
  <si>
    <t xml:space="preserve">Distribuição das atividades diárias do Tesoureiro (Ter–Sex, 08:30–13:30), conforme deveres do Art. 7.2 e Tabela de Atividades Diárias.</t>
  </si>
  <si>
    <t xml:space="preserve">Calendário Mensal</t>
  </si>
  <si>
    <t xml:space="preserve">Calendário do mês com marcação dos dias de trabalho, vencimentos, conciliação, fechamento e a reunião de Diretoria (dia 5).</t>
  </si>
  <si>
    <t xml:space="preserve">Apresentação Financeira</t>
  </si>
  <si>
    <t xml:space="preserve">Modelo de apresentação mensal à Diretoria: receitas, despesas, inadimplência, conciliação e indicadores — Art. 7.2 'g' e 'n'.</t>
  </si>
  <si>
    <t xml:space="preserve">Provisionamento</t>
  </si>
  <si>
    <t xml:space="preserve">Provisionamento de recebimentos e despesas do mês corrente e do mês seguinte (fluxo de caixa projetado) — Art. 7.2 'h' e 'q'.</t>
  </si>
  <si>
    <t xml:space="preserve">Controle de Despesas</t>
  </si>
  <si>
    <t xml:space="preserve">Centro de custo mensal e controle de despesas fixas/variáveis sob responsabilidade do Tesoureiro.</t>
  </si>
  <si>
    <t xml:space="preserve">Inadimplência</t>
  </si>
  <si>
    <t xml:space="preserve">Acompanhamento da régua de cobrança dos associados — Art. 7.2 'c' e 'l'.</t>
  </si>
  <si>
    <t xml:space="preserve">Conciliação Bancária</t>
  </si>
  <si>
    <t xml:space="preserve">Checklist e controle da conciliação bancária periódica (Cora) — Art. 7.2 'f'.</t>
  </si>
  <si>
    <t xml:space="preserve">Outras Atribuições</t>
  </si>
  <si>
    <t xml:space="preserve">Demais deveres do Tesoureiro previstos no documento que não são diários, mas recorrentes ou eventuais.</t>
  </si>
  <si>
    <t xml:space="preserve">Prestação de Contas</t>
  </si>
  <si>
    <t xml:space="preserve">Modelo de prestação de contas do cargo à Diretoria, conforme item 12 do documento.</t>
  </si>
  <si>
    <t xml:space="preserve">PRINCÍPIOS APLICADOS (LIMITES DE ATUAÇÃO DO TESOUREIRO)</t>
  </si>
  <si>
    <t xml:space="preserve">•  Não decide isoladamente sobre exclusão de associado, alteração de benefício, contratação relevante, remuneração ou obrigação financeira não aprovada pela Diretoria (Art. 7.3).</t>
  </si>
  <si>
    <t xml:space="preserve">•  Despesa ordinária já prevista no orçamento: aprovação Tesoureiro + Presidente.</t>
  </si>
  <si>
    <t xml:space="preserve">•  Despesa fora do orçamento, contrato novo ou pagamento a diretor/empresa vinculada: aprovação da Diretoria Executiva, com registro em ata.</t>
  </si>
  <si>
    <t xml:space="preserve">•  Alerta a Diretoria antes de aprovar despesas que comprometam caixa ou reserva financeira (Art. 7.2 'q').</t>
  </si>
  <si>
    <t xml:space="preserve">•  Mantém sigilo sobre dados financeiros e presta contas à Diretoria e ao Conselho Fiscal quando solicitado.</t>
  </si>
  <si>
    <t xml:space="preserve">ROTINA SEMANAL DO TESOUREIRO  (Terça a Sexta-feira | 08:30 às 13:30)</t>
  </si>
  <si>
    <t xml:space="preserve">Baseada no Art. 7.2 (Deveres do Tesoureiro) e na Tabela de Atividades Diárias e Responsáveis do Organograma de Governança</t>
  </si>
  <si>
    <t xml:space="preserve">TERÇA-FEIRA</t>
  </si>
  <si>
    <t xml:space="preserve">Hora</t>
  </si>
  <si>
    <t xml:space="preserve">Bloco</t>
  </si>
  <si>
    <t xml:space="preserve">Atividade</t>
  </si>
  <si>
    <t xml:space="preserve">Responsável / Apoio</t>
  </si>
  <si>
    <t xml:space="preserve">Base no documento</t>
  </si>
  <si>
    <t xml:space="preserve">Observação</t>
  </si>
  <si>
    <t xml:space="preserve">08:30 – 08:45</t>
  </si>
  <si>
    <t xml:space="preserve">Abertura financeira do dia</t>
  </si>
  <si>
    <t xml:space="preserve">Verificar extrato bancário (Cora) e caixa; checar pagamentos e recebimentos das últimas 24h</t>
  </si>
  <si>
    <t xml:space="preserve">Tesoureiro</t>
  </si>
  <si>
    <t xml:space="preserve">Art. 7.2 'a' 'f' / Tabela ativ. 16</t>
  </si>
  <si>
    <t xml:space="preserve">Primeiro contato do dia com o financeiro antes de qualquer outra tarefa</t>
  </si>
  <si>
    <t xml:space="preserve">08:45 – 09:30</t>
  </si>
  <si>
    <t xml:space="preserve">Receitas e cobrança</t>
  </si>
  <si>
    <t xml:space="preserve">Conferir mensalidades e contribuições recebidas; atualizar planilha de inadimplência do dia</t>
  </si>
  <si>
    <t xml:space="preserve">Tesoureiro | Apoio: Secretário, Coordenador</t>
  </si>
  <si>
    <t xml:space="preserve">Art. 7.2 'a' 'c' / Tabela ativ. 16-17</t>
  </si>
  <si>
    <t xml:space="preserve">Registrar pagamentos via Pix/boleto e marcar pendências</t>
  </si>
  <si>
    <t xml:space="preserve">09:30 – 10:15</t>
  </si>
  <si>
    <t xml:space="preserve">Despesas e compromissos</t>
  </si>
  <si>
    <t xml:space="preserve">Conferir vencimentos do dia/semana; programar pagamentos autorizados pela Diretoria</t>
  </si>
  <si>
    <t xml:space="preserve">Tesoureiro | Apoio: Presidente</t>
  </si>
  <si>
    <t xml:space="preserve">Art. 7.2 'b' 'd' / Tabela ativ. 18</t>
  </si>
  <si>
    <t xml:space="preserve">Pagamento deve ter aprovação e registro formal (Regra de aprovação de despesas)</t>
  </si>
  <si>
    <t xml:space="preserve">10:15 – 11:00</t>
  </si>
  <si>
    <t xml:space="preserve">Conciliação bancária</t>
  </si>
  <si>
    <t xml:space="preserve">Realizar conciliação bancária periódica (extrato Cora x registros internos)</t>
  </si>
  <si>
    <t xml:space="preserve">Art. 7.2 'f'</t>
  </si>
  <si>
    <t xml:space="preserve">Ver checklist completo na aba 'Conciliação Bancária'</t>
  </si>
  <si>
    <t xml:space="preserve">11:00 – 11:15</t>
  </si>
  <si>
    <t xml:space="preserve">Pausa</t>
  </si>
  <si>
    <t xml:space="preserve">Intervalo curto</t>
  </si>
  <si>
    <t xml:space="preserve">—</t>
  </si>
  <si>
    <t xml:space="preserve">11:15 – 12:15</t>
  </si>
  <si>
    <t xml:space="preserve">Documentação financeira</t>
  </si>
  <si>
    <t xml:space="preserve">Organizar comprovantes, recibos, notas fiscais e extratos da semana</t>
  </si>
  <si>
    <t xml:space="preserve">Art. 7.2 'e' 'r'</t>
  </si>
  <si>
    <t xml:space="preserve">Manter pasta organizada para fiscalização e contabilidade</t>
  </si>
  <si>
    <t xml:space="preserve">12:15 – 13:30</t>
  </si>
  <si>
    <t xml:space="preserve">Planejamento da semana</t>
  </si>
  <si>
    <t xml:space="preserve">Atualizar provisionamento de recebimentos e despesas (mês corrente e seguinte)</t>
  </si>
  <si>
    <t xml:space="preserve">Art. 7.2 'h' 'p' 'q'</t>
  </si>
  <si>
    <t xml:space="preserve">Atualizar aba 'Provisionamento'</t>
  </si>
  <si>
    <t xml:space="preserve">QUARTA-FEIRA</t>
  </si>
  <si>
    <t xml:space="preserve">Benefícios e impacto financeiro</t>
  </si>
  <si>
    <t xml:space="preserve">Verificar inclusões/exclusões de associados em benefícios com impacto financeiro (plano de saúde HGU)</t>
  </si>
  <si>
    <t xml:space="preserve">Art. 7.2 'i' 'j' 'k' / Fluxo HGU</t>
  </si>
  <si>
    <t xml:space="preserve">Tesoureiro entra no fluxo HGU na etapa 'Verificação de impactos financeiros'</t>
  </si>
  <si>
    <t xml:space="preserve">Despesas fixas e variáveis</t>
  </si>
  <si>
    <t xml:space="preserve">Atualizar controle de despesas fixas, variáveis e obrigações futuras (Centro de Custo)</t>
  </si>
  <si>
    <t xml:space="preserve">Art. 7.2 'p'</t>
  </si>
  <si>
    <t xml:space="preserve">Atualizar aba 'Controle de Despesas'</t>
  </si>
  <si>
    <t xml:space="preserve">Pró-labores e repasses</t>
  </si>
  <si>
    <t xml:space="preserve">Confirmar pró-labores, reembolsos e repasses aprovados; checar documentação de aprovação</t>
  </si>
  <si>
    <t xml:space="preserve">Tesoureiro | Apoio: Diretoria</t>
  </si>
  <si>
    <t xml:space="preserve">Art. 7.2 'm' / Item 13</t>
  </si>
  <si>
    <t xml:space="preserve">Pró-labore só é pago vinculado ao efetivo exercício do cargo e prestação de contas</t>
  </si>
  <si>
    <t xml:space="preserve">QUINTA-FEIRA</t>
  </si>
  <si>
    <t xml:space="preserve">Inadimplência e régua de cobrança</t>
  </si>
  <si>
    <t xml:space="preserve">Revisar régua de cobrança; identificar inadimplentes recorrentes e risco de suspensão de benefício</t>
  </si>
  <si>
    <t xml:space="preserve">Art. 7.2 'c' 'l'</t>
  </si>
  <si>
    <t xml:space="preserve">Atualizar aba 'Inadimplência'</t>
  </si>
  <si>
    <t xml:space="preserve">Riscos financeiros</t>
  </si>
  <si>
    <t xml:space="preserve">Avaliar risco financeiro: queda de receita, inadimplência elevada, insuficiência de caixa</t>
  </si>
  <si>
    <t xml:space="preserve">Art. 7.2 'h' 'q'</t>
  </si>
  <si>
    <t xml:space="preserve">Se houver risco relevante, comunicar formalmente a Diretoria</t>
  </si>
  <si>
    <t xml:space="preserve">Preparação para o Conselho Fiscal</t>
  </si>
  <si>
    <t xml:space="preserve">Organizar documentos financeiros que possam ser solicitados pelo Conselho Fiscal</t>
  </si>
  <si>
    <t xml:space="preserve">Art. 7.2 'n' 'r'</t>
  </si>
  <si>
    <t xml:space="preserve">Documentos sempre disponíveis e organizados, mesmo sem solicitação</t>
  </si>
  <si>
    <t xml:space="preserve">SEXTA-FEIRA</t>
  </si>
  <si>
    <t xml:space="preserve">Fechamento semanal financeiro</t>
  </si>
  <si>
    <t xml:space="preserve">Consolidar receitas e despesas da semana; conferir saldo final de caixa/banco</t>
  </si>
  <si>
    <t xml:space="preserve">Art. 7.2 'a' 'b'</t>
  </si>
  <si>
    <t xml:space="preserve">Base para o relatório financeiro mensal</t>
  </si>
  <si>
    <t xml:space="preserve">Atualização do relatório financeiro mensal</t>
  </si>
  <si>
    <t xml:space="preserve">Atualizar dados parciais do mês na aba 'Apresentação Financeira' (receitas, despesas, indicadores)</t>
  </si>
  <si>
    <t xml:space="preserve">Art. 7.2 'g'</t>
  </si>
  <si>
    <t xml:space="preserve">Deixar pronto incrementalmente, não acumular para o fim do mês</t>
  </si>
  <si>
    <t xml:space="preserve">Encerramento e prestação de contas da semana</t>
  </si>
  <si>
    <t xml:space="preserve">Revisar pendências da semana; preparar pontos para comunicar à Diretoria</t>
  </si>
  <si>
    <t xml:space="preserve">Item 12</t>
  </si>
  <si>
    <t xml:space="preserve">Se dia 5 cair próximo, revisar pauta da reunião financeira mensal</t>
  </si>
  <si>
    <t xml:space="preserve">CALENDÁRIO MENSAL — ROTINA E EVENTOS FINANCEIROS</t>
  </si>
  <si>
    <t xml:space="preserve">Preencha o Mês/Ano em B5 e D5 — o calendário e as marcações são gerados automaticamente</t>
  </si>
  <si>
    <t xml:space="preserve">Mês (1-12):</t>
  </si>
  <si>
    <t xml:space="preserve">Ano:</t>
  </si>
  <si>
    <t xml:space="preserve">LEGENDA</t>
  </si>
  <si>
    <t xml:space="preserve">  </t>
  </si>
  <si>
    <t xml:space="preserve">Dia de trabalho (Ter-Sex)</t>
  </si>
  <si>
    <t xml:space="preserve">Reunião financeira c/ Diretoria (dia 5)</t>
  </si>
  <si>
    <t xml:space="preserve">Fim de semana / Segunda (fora do cargo)</t>
  </si>
  <si>
    <t xml:space="preserve">CALENDÁRIO</t>
  </si>
  <si>
    <t xml:space="preserve">Seg</t>
  </si>
  <si>
    <t xml:space="preserve">Ter</t>
  </si>
  <si>
    <t xml:space="preserve">Qua</t>
  </si>
  <si>
    <t xml:space="preserve">Qui</t>
  </si>
  <si>
    <t xml:space="preserve">Sex</t>
  </si>
  <si>
    <t xml:space="preserve">Sáb</t>
  </si>
  <si>
    <t xml:space="preserve">Dom</t>
  </si>
  <si>
    <t xml:space="preserve">Dias úteis de Terça a Sexta = rotina do Tesoureiro (08:30–13:30). Dia 5 = Apresentação Financeira Mensal à Diretoria.</t>
  </si>
  <si>
    <t xml:space="preserve">APRESENTAÇÃO FINANCEIRA MENSAL À DIRETORIA</t>
  </si>
  <si>
    <t xml:space="preserve">Reunião fixa: todo dia 5 do mês  |  Base: Art. 7.2 'g' (relatório financeiro mensal) e 'n' (prestação de contas)</t>
  </si>
  <si>
    <t xml:space="preserve">Mês de referência:</t>
  </si>
  <si>
    <t xml:space="preserve">1. RESUMO DE RECEITAS</t>
  </si>
  <si>
    <t xml:space="preserve">Item</t>
  </si>
  <si>
    <t xml:space="preserve">Previsto (R$)</t>
  </si>
  <si>
    <t xml:space="preserve">Realizado (R$)</t>
  </si>
  <si>
    <t xml:space="preserve">Variação (R$)</t>
  </si>
  <si>
    <t xml:space="preserve">Mensalidades de associados</t>
  </si>
  <si>
    <t xml:space="preserve">Contribuições / taxas</t>
  </si>
  <si>
    <t xml:space="preserve">Repasses</t>
  </si>
  <si>
    <t xml:space="preserve">Outros recebimentos</t>
  </si>
  <si>
    <t xml:space="preserve">TOTAL DE RECEITAS</t>
  </si>
  <si>
    <t xml:space="preserve">2. RESUMO DE DESPESAS</t>
  </si>
  <si>
    <t xml:space="preserve">Estrutura administrativa (aluguel, internet, energia, etc.)</t>
  </si>
  <si>
    <t xml:space="preserve">Contabilidade e obrigações legais</t>
  </si>
  <si>
    <t xml:space="preserve">Pró-labore — Diretoria Executiva</t>
  </si>
  <si>
    <t xml:space="preserve">Operação e atendimento aos associados</t>
  </si>
  <si>
    <t xml:space="preserve">Marketing e comunicação</t>
  </si>
  <si>
    <t xml:space="preserve">Plano de saúde / benefícios (custos adicionais)</t>
  </si>
  <si>
    <t xml:space="preserve">Serviços de terceiros / apoio eventual</t>
  </si>
  <si>
    <t xml:space="preserve">TOTAL DE DESPESAS</t>
  </si>
  <si>
    <t xml:space="preserve">3. RESULTADO DO MÊS</t>
  </si>
  <si>
    <t xml:space="preserve">Saldo do mês (Receitas - Despesas)</t>
  </si>
  <si>
    <t xml:space="preserve">Previsto</t>
  </si>
  <si>
    <t xml:space="preserve">Realizado</t>
  </si>
  <si>
    <t xml:space="preserve">Resultado líquido</t>
  </si>
  <si>
    <t xml:space="preserve">4. INDICADORES E ALERTAS (Art. 7.2 'h')</t>
  </si>
  <si>
    <t xml:space="preserve">Inadimplência do mês (ver aba Inadimplência)</t>
  </si>
  <si>
    <t xml:space="preserve">Saldo de caixa/banco ao final do mês</t>
  </si>
  <si>
    <t xml:space="preserve">Reserva financeira disponível</t>
  </si>
  <si>
    <t xml:space="preserve">Risco identificado (queda de receita, despesa incompatível, insuficiência de caixa)</t>
  </si>
  <si>
    <t xml:space="preserve">5. PAUTA DA REUNIÃO (dia 5)</t>
  </si>
  <si>
    <t xml:space="preserve">1. Apresentação de receitas e despesas do mês (previsto x realizado)</t>
  </si>
  <si>
    <t xml:space="preserve">2. Situação da inadimplência e ações de cobrança</t>
  </si>
  <si>
    <t xml:space="preserve">3. Provisionamento do mês seguinte (recebimentos e despesas)</t>
  </si>
  <si>
    <t xml:space="preserve">4. Pagamentos, contratos ou pró-labores pendentes de aprovação</t>
  </si>
  <si>
    <t xml:space="preserve">5. Riscos financeiros identificados e medidas propostas</t>
  </si>
  <si>
    <t xml:space="preserve">6. Documentos disponíveis para o Conselho Fiscal</t>
  </si>
  <si>
    <t xml:space="preserve">PROVISIONAMENTO DE RECEBIMENTOS E DESPESAS</t>
  </si>
  <si>
    <t xml:space="preserve">Mês corrente e mês seguinte — Art. 7.2 'h' (riscos financeiros) e 'q' (alertar antes de novas despesas)</t>
  </si>
  <si>
    <t xml:space="preserve">MÊS CORRENTE</t>
  </si>
  <si>
    <t xml:space="preserve">Data prevista</t>
  </si>
  <si>
    <t xml:space="preserve">Recebimento (R$)</t>
  </si>
  <si>
    <t xml:space="preserve">Despesa (R$)</t>
  </si>
  <si>
    <t xml:space="preserve">Mensalidades a receber (associados em dia)</t>
  </si>
  <si>
    <t xml:space="preserve">Mensalidades a receber (em atraso, com previsão de regularização)</t>
  </si>
  <si>
    <t xml:space="preserve">Repasses previstos</t>
  </si>
  <si>
    <t xml:space="preserve">Aluguel / estrutura administrativa</t>
  </si>
  <si>
    <t xml:space="preserve">Contabilidade</t>
  </si>
  <si>
    <t xml:space="preserve">Fornecedores / serviços de terceiros</t>
  </si>
  <si>
    <t xml:space="preserve">Outras despesas previstas</t>
  </si>
  <si>
    <t xml:space="preserve">TOTAL</t>
  </si>
  <si>
    <t xml:space="preserve">Saldo provisionado (Recebimentos - Despesas)</t>
  </si>
  <si>
    <t xml:space="preserve">MÊS SEGUINTE</t>
  </si>
  <si>
    <t xml:space="preserve">CONTROLE DE DESPESAS — CENTRO DE CUSTO MENSAL</t>
  </si>
  <si>
    <t xml:space="preserve">Replica o Centro de Custo Mensal do Organograma de Governança — controle sob responsabilidade do Tesoureiro</t>
  </si>
  <si>
    <t xml:space="preserve">Código</t>
  </si>
  <si>
    <t xml:space="preserve">Centro de Custo</t>
  </si>
  <si>
    <t xml:space="preserve">Valor mensal sugerido (R$)</t>
  </si>
  <si>
    <t xml:space="preserve">Pago no mês?</t>
  </si>
  <si>
    <t xml:space="preserve">Responsável pelo controle</t>
  </si>
  <si>
    <t xml:space="preserve">01</t>
  </si>
  <si>
    <t xml:space="preserve">Estrutura Administrativa</t>
  </si>
  <si>
    <t xml:space="preserve">Aluguel</t>
  </si>
  <si>
    <t xml:space="preserve">Internet</t>
  </si>
  <si>
    <t xml:space="preserve">Energia</t>
  </si>
  <si>
    <t xml:space="preserve">Limpeza</t>
  </si>
  <si>
    <t xml:space="preserve">Água do escritório</t>
  </si>
  <si>
    <t xml:space="preserve">Ferramentas / sistemas</t>
  </si>
  <si>
    <t xml:space="preserve">02</t>
  </si>
  <si>
    <t xml:space="preserve">Contabilidade e Obrigações Legais</t>
  </si>
  <si>
    <t xml:space="preserve">03</t>
  </si>
  <si>
    <t xml:space="preserve">Diretoria Executiva / Pró-labore</t>
  </si>
  <si>
    <t xml:space="preserve">Presidente</t>
  </si>
  <si>
    <t xml:space="preserve">Diretoria / Tesoureiro</t>
  </si>
  <si>
    <t xml:space="preserve">Vice-Presidente</t>
  </si>
  <si>
    <t xml:space="preserve">Secretário</t>
  </si>
  <si>
    <t xml:space="preserve">Coordenador</t>
  </si>
  <si>
    <t xml:space="preserve">04</t>
  </si>
  <si>
    <t xml:space="preserve">Operação e Atendimento aos Associados</t>
  </si>
  <si>
    <t xml:space="preserve">Ajuda combustível</t>
  </si>
  <si>
    <t xml:space="preserve">Ajuda alimentação</t>
  </si>
  <si>
    <t xml:space="preserve">05</t>
  </si>
  <si>
    <t xml:space="preserve">Marketing e Comunicação</t>
  </si>
  <si>
    <t xml:space="preserve">Marketing</t>
  </si>
  <si>
    <t xml:space="preserve">Presidente / Diretoria</t>
  </si>
  <si>
    <t xml:space="preserve">06</t>
  </si>
  <si>
    <t xml:space="preserve">Plano de Saúde / Benefícios</t>
  </si>
  <si>
    <t xml:space="preserve">Coleta de declaração de saúde (adicional)</t>
  </si>
  <si>
    <t xml:space="preserve">Envio de código ao beneficiário (adicional)</t>
  </si>
  <si>
    <t xml:space="preserve">Solicitação de exclusão (adicional)</t>
  </si>
  <si>
    <t xml:space="preserve">Notificação formal ao beneficiário (adicional)</t>
  </si>
  <si>
    <t xml:space="preserve">07</t>
  </si>
  <si>
    <t xml:space="preserve">Serviços de Terceiros / Apoio Eventual</t>
  </si>
  <si>
    <t xml:space="preserve">Serviços eventuais, técnicos ou apoio pontual</t>
  </si>
  <si>
    <t xml:space="preserve">Diretoria Executiva</t>
  </si>
  <si>
    <t xml:space="preserve">08</t>
  </si>
  <si>
    <t xml:space="preserve">Reserva Financeira / Contingência</t>
  </si>
  <si>
    <t xml:space="preserve">Reserva sugerida para imprevistos</t>
  </si>
  <si>
    <t xml:space="preserve">Presidente / Tesoureiro</t>
  </si>
  <si>
    <t xml:space="preserve">TOTAL FIXO MENSAL (SEM RESERVA)</t>
  </si>
  <si>
    <t xml:space="preserve">TOTAL MENSAL COM RESERVA</t>
  </si>
  <si>
    <t xml:space="preserve">REGRA DE APROVAÇÃO DE DESPESAS E PAGAMENTOS</t>
  </si>
  <si>
    <t xml:space="preserve">Tipo de despesa</t>
  </si>
  <si>
    <t xml:space="preserve">Quem aprova</t>
  </si>
  <si>
    <t xml:space="preserve">Despesa ordinária já prevista no orçamento</t>
  </si>
  <si>
    <t xml:space="preserve">Tesoureiro + Presidente</t>
  </si>
  <si>
    <t xml:space="preserve">Despesa fora do orçamento</t>
  </si>
  <si>
    <t xml:space="preserve">Contrato novo</t>
  </si>
  <si>
    <t xml:space="preserve">Diretoria Executiva, com registro em ata</t>
  </si>
  <si>
    <t xml:space="preserve">Pagamento a diretor, familiar ou empresa vinculada</t>
  </si>
  <si>
    <t xml:space="preserve">Diretoria, com declaração de conflito e abstenção do interessado</t>
  </si>
  <si>
    <t xml:space="preserve">Reajuste de benefício ou mensalidade</t>
  </si>
  <si>
    <t xml:space="preserve">Diretoria e, se necessário, Assembleia</t>
  </si>
  <si>
    <t xml:space="preserve">ACOMPANHAMENTO DE INADIMPLÊNCIA — RÉGUA DE COBRANÇA</t>
  </si>
  <si>
    <t xml:space="preserve">Art. 7.2 'c' e 'l' — acompanhar inadimplência e organizar a régua de cobrança</t>
  </si>
  <si>
    <t xml:space="preserve">Associado</t>
  </si>
  <si>
    <t xml:space="preserve">Mês de referência</t>
  </si>
  <si>
    <t xml:space="preserve">Valor devido (R$)</t>
  </si>
  <si>
    <t xml:space="preserve">Dias em atraso</t>
  </si>
  <si>
    <t xml:space="preserve">Status régua de cobrança</t>
  </si>
  <si>
    <t xml:space="preserve">Risco de exclusão de benefício?</t>
  </si>
  <si>
    <t xml:space="preserve">Última ação realizada</t>
  </si>
  <si>
    <t xml:space="preserve">Total em atraso (R$)</t>
  </si>
  <si>
    <t xml:space="preserve">CONCILIAÇÃO BANCÁRIA PERIÓDICA (Banco Cora)</t>
  </si>
  <si>
    <t xml:space="preserve">Art. 7.2 'f' — realizar conciliação bancária periódica</t>
  </si>
  <si>
    <t xml:space="preserve">Etapa do checklist</t>
  </si>
  <si>
    <t xml:space="preserve">Feito?</t>
  </si>
  <si>
    <t xml:space="preserve">Observações</t>
  </si>
  <si>
    <t xml:space="preserve">Exportar extrato do Cora do período</t>
  </si>
  <si>
    <t xml:space="preserve">Conferir todos os Pix recebidos x planilha interna</t>
  </si>
  <si>
    <t xml:space="preserve">Conferir todos os Pix/pagamentos enviados x planilha interna</t>
  </si>
  <si>
    <t xml:space="preserve">Identificar lançamentos não registrados internamente</t>
  </si>
  <si>
    <t xml:space="preserve">Identificar duplicidades de pagamento ou recebimento</t>
  </si>
  <si>
    <t xml:space="preserve">Verificar lançamentos 'Encontro de Contas' com valor zerado</t>
  </si>
  <si>
    <t xml:space="preserve">Conferir taxas e encargos bancários do período</t>
  </si>
  <si>
    <t xml:space="preserve">Registrar divergências encontradas com valor e data</t>
  </si>
  <si>
    <t xml:space="preserve">Corrigir/atualizar planilha interna conforme divergências</t>
  </si>
  <si>
    <t xml:space="preserve">Arquivar extrato conciliado com data de conferência</t>
  </si>
  <si>
    <t xml:space="preserve">OUTRAS ATRIBUIÇÕES DO TESOUREIRO (não diárias)</t>
  </si>
  <si>
    <t xml:space="preserve">Deveres do Art. 7.2 com periodicidade variável ou eventual</t>
  </si>
  <si>
    <t xml:space="preserve">Atribuição</t>
  </si>
  <si>
    <t xml:space="preserve">Periodicidade sugerida</t>
  </si>
  <si>
    <t xml:space="preserve">Elaborar relatório financeiro mensal para a Diretoria</t>
  </si>
  <si>
    <t xml:space="preserve">Mensal (até dia 5)</t>
  </si>
  <si>
    <t xml:space="preserve">Disponibilizar documentos ao Conselho Fiscal quando solicitado</t>
  </si>
  <si>
    <t xml:space="preserve">Sob demanda</t>
  </si>
  <si>
    <t xml:space="preserve">Art. 7.2 'n'</t>
  </si>
  <si>
    <t xml:space="preserve">Propor medidas para preservar a sustentabilidade financeira</t>
  </si>
  <si>
    <t xml:space="preserve">Trimestral / sob demanda</t>
  </si>
  <si>
    <t xml:space="preserve">Art. 7.2 'o'</t>
  </si>
  <si>
    <t xml:space="preserve">Comunicar ao Secretário/Coordenador impactos financeiros de inclusão/exclusão</t>
  </si>
  <si>
    <t xml:space="preserve">Conforme ocorrência</t>
  </si>
  <si>
    <t xml:space="preserve">Art. 7.2 'k'</t>
  </si>
  <si>
    <t xml:space="preserve">Acompanhar pagamentos e repasses vinculados ao plano de saúde HGU</t>
  </si>
  <si>
    <t xml:space="preserve">Semanal</t>
  </si>
  <si>
    <t xml:space="preserve">Art. 7.2 'j' / Fluxo HGU</t>
  </si>
  <si>
    <t xml:space="preserve">Acompanhar casos de inadimplência com risco de suspensão de benefício</t>
  </si>
  <si>
    <t xml:space="preserve">Art. 7.2 'l'</t>
  </si>
  <si>
    <t xml:space="preserve">Garantir aprovação e registro de pró-labores, reembolsos e pagamentos a fornecedores</t>
  </si>
  <si>
    <t xml:space="preserve">Art. 7.2 'm'</t>
  </si>
  <si>
    <t xml:space="preserve">Alertar a Diretoria antes da aprovação de novas despesas que comprometam o caixa</t>
  </si>
  <si>
    <t xml:space="preserve">Art. 7.2 'q'</t>
  </si>
  <si>
    <t xml:space="preserve">Manter arquivo organizado dos documentos financeiros para fiscalização/contabilidade</t>
  </si>
  <si>
    <t xml:space="preserve">Contínuo</t>
  </si>
  <si>
    <t xml:space="preserve">Art. 7.2 'r'</t>
  </si>
  <si>
    <t xml:space="preserve">Participar de reuniões ordinárias e extraordinárias da Diretoria</t>
  </si>
  <si>
    <t xml:space="preserve">Conforme convocação</t>
  </si>
  <si>
    <t xml:space="preserve">Item 3 'c'</t>
  </si>
  <si>
    <t xml:space="preserve">Declarar previamente conflito de interesse em decisões financeiras</t>
  </si>
  <si>
    <t xml:space="preserve">Item 3 'h'</t>
  </si>
  <si>
    <t xml:space="preserve">Comunicar imediatamente riscos financeiros identificados</t>
  </si>
  <si>
    <t xml:space="preserve">Imediato</t>
  </si>
  <si>
    <t xml:space="preserve">Item 3 'n'</t>
  </si>
  <si>
    <t xml:space="preserve">PRESTAÇÃO DE CONTAS DO TESOUREIRO — MODELO MENSAL</t>
  </si>
  <si>
    <t xml:space="preserve">Conforme Item 12 do Organograma de Governança da ACPROBEC</t>
  </si>
  <si>
    <t xml:space="preserve">a) Atividades realizadas</t>
  </si>
  <si>
    <t xml:space="preserve">b) Demandas recebidas</t>
  </si>
  <si>
    <t xml:space="preserve">c) Pendências em aberto</t>
  </si>
  <si>
    <t xml:space="preserve">d) Prazos vencidos ou próximos do vencimento</t>
  </si>
  <si>
    <t xml:space="preserve">e) Problemas identificados</t>
  </si>
  <si>
    <t xml:space="preserve">f) Decisões que dependem da Diretoria</t>
  </si>
  <si>
    <t xml:space="preserve">g) Documentos organizados</t>
  </si>
  <si>
    <t xml:space="preserve">h) Pagamentos ou valores sob responsabilidade do cargo</t>
  </si>
  <si>
    <t xml:space="preserve">i) Indicadores da área</t>
  </si>
  <si>
    <t xml:space="preserve">j) Recomendações de melhoria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</si>
</sst>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E2EFDA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F2F2F2"/>
      </patternFill>
    </fill>
    <fill>
      <patternFill patternType="solid">
        <fgColor rgb="FFBF8F00"/>
        <bgColor rgb="FF808000"/>
      </patternFill>
    </fill>
    <fill>
      <patternFill patternType="solid">
        <fgColor rgb="FFFFF2CC"/>
        <bgColor rgb="FFFCE4E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E4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0000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F8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2E539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32"/>
    <col collapsed="false" customWidth="true" hidden="false" outlineLevel="0" max="7" min="5" style="0" width="18"/>
  </cols>
  <sheetData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</row>
    <row r="6" customFormat="false" ht="21.75" hidden="false" customHeight="true" outlineLevel="0" collapsed="false">
      <c r="B6" s="3" t="s">
        <v>2</v>
      </c>
      <c r="C6" s="3"/>
      <c r="D6" s="3"/>
      <c r="E6" s="3"/>
      <c r="F6" s="3"/>
      <c r="G6" s="3"/>
    </row>
    <row r="7" customFormat="false" ht="19.5" hidden="false" customHeight="true" outlineLevel="0" collapsed="false">
      <c r="B7" s="4" t="s">
        <v>3</v>
      </c>
      <c r="C7" s="5" t="s">
        <v>4</v>
      </c>
      <c r="D7" s="5"/>
      <c r="E7" s="5"/>
      <c r="F7" s="5"/>
    </row>
    <row r="8" customFormat="false" ht="19.5" hidden="false" customHeight="true" outlineLevel="0" collapsed="false">
      <c r="B8" s="4" t="s">
        <v>5</v>
      </c>
      <c r="C8" s="5" t="s">
        <v>6</v>
      </c>
      <c r="D8" s="5"/>
      <c r="E8" s="5"/>
      <c r="F8" s="5"/>
    </row>
    <row r="9" customFormat="false" ht="19.5" hidden="false" customHeight="true" outlineLevel="0" collapsed="false">
      <c r="B9" s="4" t="s">
        <v>7</v>
      </c>
      <c r="C9" s="5" t="s">
        <v>8</v>
      </c>
      <c r="D9" s="5"/>
      <c r="E9" s="5"/>
      <c r="F9" s="5"/>
    </row>
    <row r="10" customFormat="false" ht="19.5" hidden="false" customHeight="true" outlineLevel="0" collapsed="false">
      <c r="B10" s="4" t="s">
        <v>9</v>
      </c>
      <c r="C10" s="5" t="s">
        <v>10</v>
      </c>
      <c r="D10" s="5"/>
      <c r="E10" s="5"/>
      <c r="F10" s="5"/>
    </row>
    <row r="11" customFormat="false" ht="19.5" hidden="false" customHeight="true" outlineLevel="0" collapsed="false">
      <c r="B11" s="4" t="s">
        <v>11</v>
      </c>
      <c r="C11" s="5" t="s">
        <v>12</v>
      </c>
      <c r="D11" s="5"/>
      <c r="E11" s="5"/>
      <c r="F11" s="5"/>
    </row>
    <row r="13" customFormat="false" ht="21.75" hidden="false" customHeight="true" outlineLevel="0" collapsed="false">
      <c r="B13" s="6" t="s">
        <v>13</v>
      </c>
      <c r="C13" s="6"/>
      <c r="D13" s="6"/>
      <c r="E13" s="6"/>
      <c r="F13" s="6"/>
      <c r="G13" s="6"/>
    </row>
    <row r="14" customFormat="false" ht="31.5" hidden="false" customHeight="true" outlineLevel="0" collapsed="false">
      <c r="B14" s="7" t="s">
        <v>14</v>
      </c>
      <c r="C14" s="5" t="s">
        <v>15</v>
      </c>
      <c r="D14" s="5"/>
      <c r="E14" s="5"/>
      <c r="F14" s="5"/>
    </row>
    <row r="15" customFormat="false" ht="31.5" hidden="false" customHeight="true" outlineLevel="0" collapsed="false">
      <c r="B15" s="7" t="s">
        <v>16</v>
      </c>
      <c r="C15" s="5" t="s">
        <v>17</v>
      </c>
      <c r="D15" s="5"/>
      <c r="E15" s="5"/>
      <c r="F15" s="5"/>
    </row>
    <row r="16" customFormat="false" ht="31.5" hidden="false" customHeight="true" outlineLevel="0" collapsed="false">
      <c r="B16" s="7" t="s">
        <v>18</v>
      </c>
      <c r="C16" s="5" t="s">
        <v>19</v>
      </c>
      <c r="D16" s="5"/>
      <c r="E16" s="5"/>
      <c r="F16" s="5"/>
    </row>
    <row r="17" customFormat="false" ht="31.5" hidden="false" customHeight="true" outlineLevel="0" collapsed="false">
      <c r="B17" s="7" t="s">
        <v>20</v>
      </c>
      <c r="C17" s="5" t="s">
        <v>21</v>
      </c>
      <c r="D17" s="5"/>
      <c r="E17" s="5"/>
      <c r="F17" s="5"/>
    </row>
    <row r="18" customFormat="false" ht="31.5" hidden="false" customHeight="true" outlineLevel="0" collapsed="false">
      <c r="B18" s="7" t="s">
        <v>22</v>
      </c>
      <c r="C18" s="5" t="s">
        <v>23</v>
      </c>
      <c r="D18" s="5"/>
      <c r="E18" s="5"/>
      <c r="F18" s="5"/>
    </row>
    <row r="19" customFormat="false" ht="31.5" hidden="false" customHeight="true" outlineLevel="0" collapsed="false">
      <c r="B19" s="7" t="s">
        <v>24</v>
      </c>
      <c r="C19" s="5" t="s">
        <v>25</v>
      </c>
      <c r="D19" s="5"/>
      <c r="E19" s="5"/>
      <c r="F19" s="5"/>
    </row>
    <row r="20" customFormat="false" ht="31.5" hidden="false" customHeight="true" outlineLevel="0" collapsed="false">
      <c r="B20" s="7" t="s">
        <v>26</v>
      </c>
      <c r="C20" s="5" t="s">
        <v>27</v>
      </c>
      <c r="D20" s="5"/>
      <c r="E20" s="5"/>
      <c r="F20" s="5"/>
    </row>
    <row r="21" customFormat="false" ht="31.5" hidden="false" customHeight="true" outlineLevel="0" collapsed="false">
      <c r="B21" s="7" t="s">
        <v>28</v>
      </c>
      <c r="C21" s="5" t="s">
        <v>29</v>
      </c>
      <c r="D21" s="5"/>
      <c r="E21" s="5"/>
      <c r="F21" s="5"/>
    </row>
    <row r="22" customFormat="false" ht="31.5" hidden="false" customHeight="true" outlineLevel="0" collapsed="false">
      <c r="B22" s="7" t="s">
        <v>30</v>
      </c>
      <c r="C22" s="5" t="s">
        <v>31</v>
      </c>
      <c r="D22" s="5"/>
      <c r="E22" s="5"/>
      <c r="F22" s="5"/>
    </row>
    <row r="24" customFormat="false" ht="21.75" hidden="false" customHeight="true" outlineLevel="0" collapsed="false">
      <c r="B24" s="8" t="s">
        <v>32</v>
      </c>
      <c r="C24" s="8"/>
      <c r="D24" s="8"/>
      <c r="E24" s="8"/>
      <c r="F24" s="8"/>
      <c r="G24" s="8"/>
    </row>
    <row r="25" customFormat="false" ht="27.75" hidden="false" customHeight="true" outlineLevel="0" collapsed="false">
      <c r="B25" s="9" t="s">
        <v>33</v>
      </c>
      <c r="C25" s="9"/>
      <c r="D25" s="9"/>
      <c r="E25" s="9"/>
      <c r="F25" s="9"/>
    </row>
    <row r="26" customFormat="false" ht="27.75" hidden="false" customHeight="true" outlineLevel="0" collapsed="false">
      <c r="B26" s="9" t="s">
        <v>34</v>
      </c>
      <c r="C26" s="9"/>
      <c r="D26" s="9"/>
      <c r="E26" s="9"/>
      <c r="F26" s="9"/>
    </row>
    <row r="27" customFormat="false" ht="27.75" hidden="false" customHeight="true" outlineLevel="0" collapsed="false">
      <c r="B27" s="9" t="s">
        <v>35</v>
      </c>
      <c r="C27" s="9"/>
      <c r="D27" s="9"/>
      <c r="E27" s="9"/>
      <c r="F27" s="9"/>
    </row>
    <row r="28" customFormat="false" ht="27.75" hidden="false" customHeight="true" outlineLevel="0" collapsed="false">
      <c r="B28" s="9" t="s">
        <v>36</v>
      </c>
      <c r="C28" s="9"/>
      <c r="D28" s="9"/>
      <c r="E28" s="9"/>
      <c r="F28" s="9"/>
    </row>
    <row r="29" customFormat="false" ht="27.75" hidden="false" customHeight="true" outlineLevel="0" collapsed="false">
      <c r="B29" s="9" t="s">
        <v>37</v>
      </c>
      <c r="C29" s="9"/>
      <c r="D29" s="9"/>
      <c r="E29" s="9"/>
      <c r="F29" s="9"/>
    </row>
  </sheetData>
  <mergeCells count="24">
    <mergeCell ref="A2:G2"/>
    <mergeCell ref="B3:F3"/>
    <mergeCell ref="B6:G6"/>
    <mergeCell ref="C7:F7"/>
    <mergeCell ref="C8:F8"/>
    <mergeCell ref="C9:F9"/>
    <mergeCell ref="C10:F10"/>
    <mergeCell ref="C11:F11"/>
    <mergeCell ref="B13:G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B24:G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30"/>
  </cols>
  <sheetData>
    <row r="2" customFormat="false" ht="31.5" hidden="false" customHeight="true" outlineLevel="0" collapsed="false">
      <c r="A2" s="1" t="s">
        <v>38</v>
      </c>
      <c r="B2" s="1"/>
      <c r="C2" s="1"/>
      <c r="D2" s="1"/>
      <c r="E2" s="1"/>
      <c r="F2" s="1"/>
    </row>
    <row r="3" customFormat="false" ht="18" hidden="false" customHeight="true" outlineLevel="0" collapsed="false">
      <c r="B3" s="10" t="s">
        <v>39</v>
      </c>
      <c r="C3" s="10"/>
      <c r="D3" s="10"/>
      <c r="E3" s="10"/>
      <c r="F3" s="10"/>
    </row>
    <row r="5" customFormat="false" ht="21.75" hidden="false" customHeight="true" outlineLevel="0" collapsed="false">
      <c r="A5" s="3" t="s">
        <v>40</v>
      </c>
      <c r="B5" s="3"/>
      <c r="C5" s="3"/>
      <c r="D5" s="3"/>
      <c r="E5" s="3"/>
      <c r="F5" s="3"/>
    </row>
    <row r="6" customFormat="false" ht="27.75" hidden="false" customHeight="true" outlineLevel="0" collapsed="false">
      <c r="A6" s="11" t="s">
        <v>41</v>
      </c>
      <c r="B6" s="11" t="s">
        <v>42</v>
      </c>
      <c r="C6" s="11" t="s">
        <v>43</v>
      </c>
      <c r="D6" s="11" t="s">
        <v>44</v>
      </c>
      <c r="E6" s="11" t="s">
        <v>45</v>
      </c>
      <c r="F6" s="11" t="s">
        <v>46</v>
      </c>
    </row>
    <row r="7" customFormat="false" ht="30" hidden="false" customHeight="true" outlineLevel="0" collapsed="false">
      <c r="A7" s="12" t="s">
        <v>47</v>
      </c>
      <c r="B7" s="13" t="s">
        <v>48</v>
      </c>
      <c r="C7" s="14" t="s">
        <v>49</v>
      </c>
      <c r="D7" s="14" t="s">
        <v>50</v>
      </c>
      <c r="E7" s="14" t="s">
        <v>51</v>
      </c>
      <c r="F7" s="14" t="s">
        <v>52</v>
      </c>
    </row>
    <row r="8" customFormat="false" ht="30" hidden="false" customHeight="true" outlineLevel="0" collapsed="false">
      <c r="A8" s="12" t="s">
        <v>53</v>
      </c>
      <c r="B8" s="13" t="s">
        <v>54</v>
      </c>
      <c r="C8" s="14" t="s">
        <v>55</v>
      </c>
      <c r="D8" s="14" t="s">
        <v>56</v>
      </c>
      <c r="E8" s="14" t="s">
        <v>57</v>
      </c>
      <c r="F8" s="14" t="s">
        <v>58</v>
      </c>
    </row>
    <row r="9" customFormat="false" ht="30" hidden="false" customHeight="true" outlineLevel="0" collapsed="false">
      <c r="A9" s="12" t="s">
        <v>59</v>
      </c>
      <c r="B9" s="13" t="s">
        <v>60</v>
      </c>
      <c r="C9" s="14" t="s">
        <v>61</v>
      </c>
      <c r="D9" s="14" t="s">
        <v>62</v>
      </c>
      <c r="E9" s="14" t="s">
        <v>63</v>
      </c>
      <c r="F9" s="14" t="s">
        <v>64</v>
      </c>
    </row>
    <row r="10" customFormat="false" ht="30" hidden="false" customHeight="true" outlineLevel="0" collapsed="false">
      <c r="A10" s="12" t="s">
        <v>65</v>
      </c>
      <c r="B10" s="13" t="s">
        <v>66</v>
      </c>
      <c r="C10" s="14" t="s">
        <v>67</v>
      </c>
      <c r="D10" s="14" t="s">
        <v>50</v>
      </c>
      <c r="E10" s="14" t="s">
        <v>68</v>
      </c>
      <c r="F10" s="14" t="s">
        <v>69</v>
      </c>
    </row>
    <row r="11" customFormat="false" ht="15.75" hidden="false" customHeight="true" outlineLevel="0" collapsed="false">
      <c r="A11" s="15" t="s">
        <v>70</v>
      </c>
      <c r="B11" s="15" t="s">
        <v>71</v>
      </c>
      <c r="C11" s="16" t="s">
        <v>72</v>
      </c>
      <c r="D11" s="16" t="s">
        <v>73</v>
      </c>
      <c r="E11" s="16" t="s">
        <v>73</v>
      </c>
      <c r="F11" s="16"/>
    </row>
    <row r="12" customFormat="false" ht="30" hidden="false" customHeight="true" outlineLevel="0" collapsed="false">
      <c r="A12" s="12" t="s">
        <v>74</v>
      </c>
      <c r="B12" s="13" t="s">
        <v>75</v>
      </c>
      <c r="C12" s="14" t="s">
        <v>76</v>
      </c>
      <c r="D12" s="14" t="s">
        <v>50</v>
      </c>
      <c r="E12" s="14" t="s">
        <v>77</v>
      </c>
      <c r="F12" s="14" t="s">
        <v>78</v>
      </c>
    </row>
    <row r="13" customFormat="false" ht="30" hidden="false" customHeight="true" outlineLevel="0" collapsed="false">
      <c r="A13" s="12" t="s">
        <v>79</v>
      </c>
      <c r="B13" s="13" t="s">
        <v>80</v>
      </c>
      <c r="C13" s="14" t="s">
        <v>81</v>
      </c>
      <c r="D13" s="14" t="s">
        <v>50</v>
      </c>
      <c r="E13" s="14" t="s">
        <v>82</v>
      </c>
      <c r="F13" s="14" t="s">
        <v>83</v>
      </c>
    </row>
    <row r="15" customFormat="false" ht="21.75" hidden="false" customHeight="true" outlineLevel="0" collapsed="false">
      <c r="A15" s="3" t="s">
        <v>84</v>
      </c>
      <c r="B15" s="3"/>
      <c r="C15" s="3"/>
      <c r="D15" s="3"/>
      <c r="E15" s="3"/>
      <c r="F15" s="3"/>
    </row>
    <row r="16" customFormat="false" ht="27.75" hidden="false" customHeight="true" outlineLevel="0" collapsed="false">
      <c r="A16" s="11" t="s">
        <v>41</v>
      </c>
      <c r="B16" s="11" t="s">
        <v>42</v>
      </c>
      <c r="C16" s="11" t="s">
        <v>43</v>
      </c>
      <c r="D16" s="11" t="s">
        <v>44</v>
      </c>
      <c r="E16" s="11" t="s">
        <v>45</v>
      </c>
      <c r="F16" s="11" t="s">
        <v>46</v>
      </c>
    </row>
    <row r="17" customFormat="false" ht="30" hidden="false" customHeight="true" outlineLevel="0" collapsed="false">
      <c r="A17" s="12" t="s">
        <v>47</v>
      </c>
      <c r="B17" s="13" t="s">
        <v>48</v>
      </c>
      <c r="C17" s="14" t="s">
        <v>49</v>
      </c>
      <c r="D17" s="14" t="s">
        <v>50</v>
      </c>
      <c r="E17" s="14" t="s">
        <v>51</v>
      </c>
      <c r="F17" s="14" t="s">
        <v>52</v>
      </c>
    </row>
    <row r="18" customFormat="false" ht="30" hidden="false" customHeight="true" outlineLevel="0" collapsed="false">
      <c r="A18" s="12" t="s">
        <v>53</v>
      </c>
      <c r="B18" s="13" t="s">
        <v>54</v>
      </c>
      <c r="C18" s="14" t="s">
        <v>55</v>
      </c>
      <c r="D18" s="14" t="s">
        <v>56</v>
      </c>
      <c r="E18" s="14" t="s">
        <v>57</v>
      </c>
      <c r="F18" s="14" t="s">
        <v>58</v>
      </c>
    </row>
    <row r="19" customFormat="false" ht="30" hidden="false" customHeight="true" outlineLevel="0" collapsed="false">
      <c r="A19" s="12" t="s">
        <v>59</v>
      </c>
      <c r="B19" s="13" t="s">
        <v>60</v>
      </c>
      <c r="C19" s="14" t="s">
        <v>61</v>
      </c>
      <c r="D19" s="14" t="s">
        <v>62</v>
      </c>
      <c r="E19" s="14" t="s">
        <v>63</v>
      </c>
      <c r="F19" s="14" t="s">
        <v>64</v>
      </c>
    </row>
    <row r="20" customFormat="false" ht="30" hidden="false" customHeight="true" outlineLevel="0" collapsed="false">
      <c r="A20" s="12" t="s">
        <v>65</v>
      </c>
      <c r="B20" s="13" t="s">
        <v>85</v>
      </c>
      <c r="C20" s="14" t="s">
        <v>86</v>
      </c>
      <c r="D20" s="14" t="s">
        <v>56</v>
      </c>
      <c r="E20" s="14" t="s">
        <v>87</v>
      </c>
      <c r="F20" s="14" t="s">
        <v>88</v>
      </c>
    </row>
    <row r="21" customFormat="false" ht="15.75" hidden="false" customHeight="true" outlineLevel="0" collapsed="false">
      <c r="A21" s="15" t="s">
        <v>70</v>
      </c>
      <c r="B21" s="15" t="s">
        <v>71</v>
      </c>
      <c r="C21" s="16" t="s">
        <v>72</v>
      </c>
      <c r="D21" s="16" t="s">
        <v>73</v>
      </c>
      <c r="E21" s="16" t="s">
        <v>73</v>
      </c>
      <c r="F21" s="16"/>
    </row>
    <row r="22" customFormat="false" ht="30" hidden="false" customHeight="true" outlineLevel="0" collapsed="false">
      <c r="A22" s="12" t="s">
        <v>74</v>
      </c>
      <c r="B22" s="13" t="s">
        <v>89</v>
      </c>
      <c r="C22" s="14" t="s">
        <v>90</v>
      </c>
      <c r="D22" s="14" t="s">
        <v>50</v>
      </c>
      <c r="E22" s="14" t="s">
        <v>91</v>
      </c>
      <c r="F22" s="14" t="s">
        <v>92</v>
      </c>
    </row>
    <row r="23" customFormat="false" ht="30" hidden="false" customHeight="true" outlineLevel="0" collapsed="false">
      <c r="A23" s="12" t="s">
        <v>79</v>
      </c>
      <c r="B23" s="13" t="s">
        <v>93</v>
      </c>
      <c r="C23" s="14" t="s">
        <v>94</v>
      </c>
      <c r="D23" s="14" t="s">
        <v>95</v>
      </c>
      <c r="E23" s="14" t="s">
        <v>96</v>
      </c>
      <c r="F23" s="14" t="s">
        <v>97</v>
      </c>
    </row>
    <row r="25" customFormat="false" ht="21.75" hidden="false" customHeight="true" outlineLevel="0" collapsed="false">
      <c r="A25" s="3" t="s">
        <v>98</v>
      </c>
      <c r="B25" s="3"/>
      <c r="C25" s="3"/>
      <c r="D25" s="3"/>
      <c r="E25" s="3"/>
      <c r="F25" s="3"/>
    </row>
    <row r="26" customFormat="false" ht="27.75" hidden="false" customHeight="true" outlineLevel="0" collapsed="false">
      <c r="A26" s="11" t="s">
        <v>41</v>
      </c>
      <c r="B26" s="11" t="s">
        <v>42</v>
      </c>
      <c r="C26" s="11" t="s">
        <v>43</v>
      </c>
      <c r="D26" s="11" t="s">
        <v>44</v>
      </c>
      <c r="E26" s="11" t="s">
        <v>45</v>
      </c>
      <c r="F26" s="11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4" t="s">
        <v>49</v>
      </c>
      <c r="D27" s="14" t="s">
        <v>50</v>
      </c>
      <c r="E27" s="14" t="s">
        <v>51</v>
      </c>
      <c r="F27" s="14" t="s">
        <v>52</v>
      </c>
    </row>
    <row r="28" customFormat="false" ht="30" hidden="false" customHeight="true" outlineLevel="0" collapsed="false">
      <c r="A28" s="12" t="s">
        <v>53</v>
      </c>
      <c r="B28" s="13" t="s">
        <v>54</v>
      </c>
      <c r="C28" s="14" t="s">
        <v>55</v>
      </c>
      <c r="D28" s="14" t="s">
        <v>56</v>
      </c>
      <c r="E28" s="14" t="s">
        <v>57</v>
      </c>
      <c r="F28" s="14" t="s">
        <v>58</v>
      </c>
    </row>
    <row r="29" customFormat="false" ht="30" hidden="false" customHeight="true" outlineLevel="0" collapsed="false">
      <c r="A29" s="12" t="s">
        <v>59</v>
      </c>
      <c r="B29" s="13" t="s">
        <v>60</v>
      </c>
      <c r="C29" s="14" t="s">
        <v>61</v>
      </c>
      <c r="D29" s="14" t="s">
        <v>62</v>
      </c>
      <c r="E29" s="14" t="s">
        <v>63</v>
      </c>
      <c r="F29" s="14" t="s">
        <v>64</v>
      </c>
    </row>
    <row r="30" customFormat="false" ht="30" hidden="false" customHeight="true" outlineLevel="0" collapsed="false">
      <c r="A30" s="12" t="s">
        <v>65</v>
      </c>
      <c r="B30" s="13" t="s">
        <v>99</v>
      </c>
      <c r="C30" s="14" t="s">
        <v>100</v>
      </c>
      <c r="D30" s="14" t="s">
        <v>56</v>
      </c>
      <c r="E30" s="14" t="s">
        <v>101</v>
      </c>
      <c r="F30" s="14" t="s">
        <v>102</v>
      </c>
    </row>
    <row r="31" customFormat="false" ht="15.75" hidden="false" customHeight="true" outlineLevel="0" collapsed="false">
      <c r="A31" s="15" t="s">
        <v>70</v>
      </c>
      <c r="B31" s="15" t="s">
        <v>71</v>
      </c>
      <c r="C31" s="16" t="s">
        <v>72</v>
      </c>
      <c r="D31" s="16" t="s">
        <v>73</v>
      </c>
      <c r="E31" s="16" t="s">
        <v>73</v>
      </c>
      <c r="F31" s="16"/>
    </row>
    <row r="32" customFormat="false" ht="30" hidden="false" customHeight="true" outlineLevel="0" collapsed="false">
      <c r="A32" s="12" t="s">
        <v>74</v>
      </c>
      <c r="B32" s="13" t="s">
        <v>103</v>
      </c>
      <c r="C32" s="14" t="s">
        <v>104</v>
      </c>
      <c r="D32" s="14" t="s">
        <v>50</v>
      </c>
      <c r="E32" s="14" t="s">
        <v>105</v>
      </c>
      <c r="F32" s="14" t="s">
        <v>106</v>
      </c>
    </row>
    <row r="33" customFormat="false" ht="30" hidden="false" customHeight="true" outlineLevel="0" collapsed="false">
      <c r="A33" s="12" t="s">
        <v>79</v>
      </c>
      <c r="B33" s="13" t="s">
        <v>107</v>
      </c>
      <c r="C33" s="14" t="s">
        <v>108</v>
      </c>
      <c r="D33" s="14" t="s">
        <v>50</v>
      </c>
      <c r="E33" s="14" t="s">
        <v>109</v>
      </c>
      <c r="F33" s="14" t="s">
        <v>110</v>
      </c>
    </row>
    <row r="35" customFormat="false" ht="21.75" hidden="false" customHeight="true" outlineLevel="0" collapsed="false">
      <c r="A35" s="3" t="s">
        <v>111</v>
      </c>
      <c r="B35" s="3"/>
      <c r="C35" s="3"/>
      <c r="D35" s="3"/>
      <c r="E35" s="3"/>
      <c r="F35" s="3"/>
    </row>
    <row r="36" customFormat="false" ht="27.75" hidden="false" customHeight="true" outlineLevel="0" collapsed="false">
      <c r="A36" s="11" t="s">
        <v>41</v>
      </c>
      <c r="B36" s="11" t="s">
        <v>42</v>
      </c>
      <c r="C36" s="11" t="s">
        <v>43</v>
      </c>
      <c r="D36" s="11" t="s">
        <v>44</v>
      </c>
      <c r="E36" s="11" t="s">
        <v>45</v>
      </c>
      <c r="F36" s="11" t="s">
        <v>46</v>
      </c>
    </row>
    <row r="37" customFormat="false" ht="30" hidden="false" customHeight="true" outlineLevel="0" collapsed="false">
      <c r="A37" s="12" t="s">
        <v>47</v>
      </c>
      <c r="B37" s="13" t="s">
        <v>48</v>
      </c>
      <c r="C37" s="14" t="s">
        <v>49</v>
      </c>
      <c r="D37" s="14" t="s">
        <v>50</v>
      </c>
      <c r="E37" s="14" t="s">
        <v>51</v>
      </c>
      <c r="F37" s="14" t="s">
        <v>52</v>
      </c>
    </row>
    <row r="38" customFormat="false" ht="30" hidden="false" customHeight="true" outlineLevel="0" collapsed="false">
      <c r="A38" s="12" t="s">
        <v>53</v>
      </c>
      <c r="B38" s="13" t="s">
        <v>54</v>
      </c>
      <c r="C38" s="14" t="s">
        <v>55</v>
      </c>
      <c r="D38" s="14" t="s">
        <v>56</v>
      </c>
      <c r="E38" s="14" t="s">
        <v>57</v>
      </c>
      <c r="F38" s="14" t="s">
        <v>58</v>
      </c>
    </row>
    <row r="39" customFormat="false" ht="30" hidden="false" customHeight="true" outlineLevel="0" collapsed="false">
      <c r="A39" s="12" t="s">
        <v>59</v>
      </c>
      <c r="B39" s="13" t="s">
        <v>60</v>
      </c>
      <c r="C39" s="14" t="s">
        <v>61</v>
      </c>
      <c r="D39" s="14" t="s">
        <v>62</v>
      </c>
      <c r="E39" s="14" t="s">
        <v>63</v>
      </c>
      <c r="F39" s="14" t="s">
        <v>64</v>
      </c>
    </row>
    <row r="40" customFormat="false" ht="30" hidden="false" customHeight="true" outlineLevel="0" collapsed="false">
      <c r="A40" s="12" t="s">
        <v>65</v>
      </c>
      <c r="B40" s="13" t="s">
        <v>112</v>
      </c>
      <c r="C40" s="14" t="s">
        <v>113</v>
      </c>
      <c r="D40" s="14" t="s">
        <v>50</v>
      </c>
      <c r="E40" s="14" t="s">
        <v>114</v>
      </c>
      <c r="F40" s="14" t="s">
        <v>115</v>
      </c>
    </row>
    <row r="41" customFormat="false" ht="15.75" hidden="false" customHeight="true" outlineLevel="0" collapsed="false">
      <c r="A41" s="15" t="s">
        <v>70</v>
      </c>
      <c r="B41" s="15" t="s">
        <v>71</v>
      </c>
      <c r="C41" s="16" t="s">
        <v>72</v>
      </c>
      <c r="D41" s="16" t="s">
        <v>73</v>
      </c>
      <c r="E41" s="16" t="s">
        <v>73</v>
      </c>
      <c r="F41" s="16"/>
    </row>
    <row r="42" customFormat="false" ht="30" hidden="false" customHeight="true" outlineLevel="0" collapsed="false">
      <c r="A42" s="12" t="s">
        <v>74</v>
      </c>
      <c r="B42" s="13" t="s">
        <v>116</v>
      </c>
      <c r="C42" s="14" t="s">
        <v>117</v>
      </c>
      <c r="D42" s="14" t="s">
        <v>50</v>
      </c>
      <c r="E42" s="14" t="s">
        <v>118</v>
      </c>
      <c r="F42" s="14" t="s">
        <v>119</v>
      </c>
    </row>
    <row r="43" customFormat="false" ht="30" hidden="false" customHeight="true" outlineLevel="0" collapsed="false">
      <c r="A43" s="12" t="s">
        <v>79</v>
      </c>
      <c r="B43" s="13" t="s">
        <v>120</v>
      </c>
      <c r="C43" s="14" t="s">
        <v>121</v>
      </c>
      <c r="D43" s="14" t="s">
        <v>50</v>
      </c>
      <c r="E43" s="14" t="s">
        <v>122</v>
      </c>
      <c r="F43" s="14" t="s">
        <v>123</v>
      </c>
    </row>
  </sheetData>
  <mergeCells count="6">
    <mergeCell ref="A2:F2"/>
    <mergeCell ref="B3:F3"/>
    <mergeCell ref="A5:F5"/>
    <mergeCell ref="A15:F15"/>
    <mergeCell ref="A25:F25"/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7"/>
  </cols>
  <sheetData>
    <row r="2" customFormat="false" ht="33.75" hidden="false" customHeight="true" outlineLevel="0" collapsed="false">
      <c r="A2" s="1" t="s">
        <v>124</v>
      </c>
      <c r="B2" s="1"/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10" t="s">
        <v>125</v>
      </c>
      <c r="C3" s="10"/>
      <c r="D3" s="10"/>
      <c r="E3" s="10"/>
      <c r="F3" s="10"/>
      <c r="G3" s="10"/>
      <c r="H3" s="10"/>
    </row>
    <row r="5" customFormat="false" ht="19.5" hidden="false" customHeight="true" outlineLevel="0" collapsed="false">
      <c r="B5" s="17" t="s">
        <v>126</v>
      </c>
      <c r="C5" s="18" t="n">
        <v>6</v>
      </c>
      <c r="D5" s="17" t="s">
        <v>127</v>
      </c>
      <c r="E5" s="18" t="n">
        <v>2026</v>
      </c>
    </row>
    <row r="7" customFormat="false" ht="21.75" hidden="false" customHeight="true" outlineLevel="0" collapsed="false">
      <c r="B7" s="8" t="s">
        <v>128</v>
      </c>
      <c r="C7" s="8"/>
      <c r="D7" s="8"/>
      <c r="E7" s="8"/>
      <c r="F7" s="8"/>
      <c r="G7" s="8"/>
      <c r="H7" s="8"/>
    </row>
    <row r="8" customFormat="false" ht="32.8" hidden="false" customHeight="false" outlineLevel="0" collapsed="false">
      <c r="B8" s="19" t="s">
        <v>129</v>
      </c>
      <c r="C8" s="20" t="s">
        <v>130</v>
      </c>
      <c r="D8" s="21" t="s">
        <v>129</v>
      </c>
      <c r="E8" s="20" t="s">
        <v>131</v>
      </c>
      <c r="F8" s="22" t="s">
        <v>129</v>
      </c>
      <c r="G8" s="20" t="s">
        <v>132</v>
      </c>
    </row>
    <row r="11" customFormat="false" ht="21.75" hidden="false" customHeight="true" outlineLevel="0" collapsed="false">
      <c r="B11" s="3" t="s">
        <v>133</v>
      </c>
      <c r="C11" s="3"/>
      <c r="D11" s="3"/>
      <c r="E11" s="3"/>
      <c r="F11" s="3"/>
      <c r="G11" s="3"/>
      <c r="H11" s="3"/>
    </row>
    <row r="12" customFormat="false" ht="21.75" hidden="false" customHeight="true" outlineLevel="0" collapsed="false">
      <c r="B12" s="11" t="s">
        <v>134</v>
      </c>
      <c r="C12" s="11" t="s">
        <v>135</v>
      </c>
      <c r="D12" s="11" t="s">
        <v>136</v>
      </c>
      <c r="E12" s="11" t="s">
        <v>137</v>
      </c>
      <c r="F12" s="11" t="s">
        <v>138</v>
      </c>
      <c r="G12" s="11" t="s">
        <v>139</v>
      </c>
      <c r="H12" s="11" t="s">
        <v>140</v>
      </c>
    </row>
    <row r="13" customFormat="false" ht="54" hidden="false" customHeight="true" outlineLevel="0" collapsed="false">
      <c r="B13" s="23" t="n">
        <f aca="false">IFERROR(IF(DATE($E$5,$C$5,1)+(0)-WEEKDAY(DATE($E$5,$C$5,1),3)&gt;=DATE($E$5,$C$5,1),IF(MONTH(DATE($E$5,$C$5,1)+(0)-WEEKDAY(DATE($E$5,$C$5,1),3))=$C$5,DAY(DATE($E$5,$C$5,1)+(0)-WEEKDAY(DATE($E$5,$C$5,1),3)),""),""),"")</f>
        <v>1</v>
      </c>
      <c r="C13" s="23" t="n">
        <f aca="false">IFERROR(IF(DATE($E$5,$C$5,1)+(1)-WEEKDAY(DATE($E$5,$C$5,1),3)&gt;=DATE($E$5,$C$5,1),IF(MONTH(DATE($E$5,$C$5,1)+(1)-WEEKDAY(DATE($E$5,$C$5,1),3))=$C$5,DAY(DATE($E$5,$C$5,1)+(1)-WEEKDAY(DATE($E$5,$C$5,1),3)),""),""),"")</f>
        <v>2</v>
      </c>
      <c r="D13" s="23" t="n">
        <f aca="false">IFERROR(IF(DATE($E$5,$C$5,1)+(2)-WEEKDAY(DATE($E$5,$C$5,1),3)&gt;=DATE($E$5,$C$5,1),IF(MONTH(DATE($E$5,$C$5,1)+(2)-WEEKDAY(DATE($E$5,$C$5,1),3))=$C$5,DAY(DATE($E$5,$C$5,1)+(2)-WEEKDAY(DATE($E$5,$C$5,1),3)),""),""),"")</f>
        <v>3</v>
      </c>
      <c r="E13" s="23" t="n">
        <f aca="false">IFERROR(IF(DATE($E$5,$C$5,1)+(3)-WEEKDAY(DATE($E$5,$C$5,1),3)&gt;=DATE($E$5,$C$5,1),IF(MONTH(DATE($E$5,$C$5,1)+(3)-WEEKDAY(DATE($E$5,$C$5,1),3))=$C$5,DAY(DATE($E$5,$C$5,1)+(3)-WEEKDAY(DATE($E$5,$C$5,1),3)),""),""),"")</f>
        <v>4</v>
      </c>
      <c r="F13" s="23" t="n">
        <f aca="false">IFERROR(IF(DATE($E$5,$C$5,1)+(4)-WEEKDAY(DATE($E$5,$C$5,1),3)&gt;=DATE($E$5,$C$5,1),IF(MONTH(DATE($E$5,$C$5,1)+(4)-WEEKDAY(DATE($E$5,$C$5,1),3))=$C$5,DAY(DATE($E$5,$C$5,1)+(4)-WEEKDAY(DATE($E$5,$C$5,1),3)),""),""),"")</f>
        <v>5</v>
      </c>
      <c r="G13" s="24" t="n">
        <f aca="false">IFERROR(IF(DATE($E$5,$C$5,1)+(5)-WEEKDAY(DATE($E$5,$C$5,1),3)&gt;=DATE($E$5,$C$5,1),IF(MONTH(DATE($E$5,$C$5,1)+(5)-WEEKDAY(DATE($E$5,$C$5,1),3))=$C$5,DAY(DATE($E$5,$C$5,1)+(5)-WEEKDAY(DATE($E$5,$C$5,1),3)),""),""),"")</f>
        <v>6</v>
      </c>
      <c r="H13" s="24" t="n">
        <f aca="false">IFERROR(IF(DATE($E$5,$C$5,1)+(6)-WEEKDAY(DATE($E$5,$C$5,1),3)&gt;=DATE($E$5,$C$5,1),IF(MONTH(DATE($E$5,$C$5,1)+(6)-WEEKDAY(DATE($E$5,$C$5,1),3))=$C$5,DAY(DATE($E$5,$C$5,1)+(6)-WEEKDAY(DATE($E$5,$C$5,1),3)),""),""),"")</f>
        <v>7</v>
      </c>
    </row>
    <row r="14" customFormat="false" ht="54" hidden="false" customHeight="true" outlineLevel="0" collapsed="false">
      <c r="B14" s="23" t="n">
        <f aca="false">IFERROR(IF(DATE($E$5,$C$5,1)+(7)-WEEKDAY(DATE($E$5,$C$5,1),3)&gt;=DATE($E$5,$C$5,1),IF(MONTH(DATE($E$5,$C$5,1)+(7)-WEEKDAY(DATE($E$5,$C$5,1),3))=$C$5,DAY(DATE($E$5,$C$5,1)+(7)-WEEKDAY(DATE($E$5,$C$5,1),3)),""),""),"")</f>
        <v>8</v>
      </c>
      <c r="C14" s="23" t="n">
        <f aca="false">IFERROR(IF(DATE($E$5,$C$5,1)+(8)-WEEKDAY(DATE($E$5,$C$5,1),3)&gt;=DATE($E$5,$C$5,1),IF(MONTH(DATE($E$5,$C$5,1)+(8)-WEEKDAY(DATE($E$5,$C$5,1),3))=$C$5,DAY(DATE($E$5,$C$5,1)+(8)-WEEKDAY(DATE($E$5,$C$5,1),3)),""),""),"")</f>
        <v>9</v>
      </c>
      <c r="D14" s="23" t="n">
        <f aca="false">IFERROR(IF(DATE($E$5,$C$5,1)+(9)-WEEKDAY(DATE($E$5,$C$5,1),3)&gt;=DATE($E$5,$C$5,1),IF(MONTH(DATE($E$5,$C$5,1)+(9)-WEEKDAY(DATE($E$5,$C$5,1),3))=$C$5,DAY(DATE($E$5,$C$5,1)+(9)-WEEKDAY(DATE($E$5,$C$5,1),3)),""),""),"")</f>
        <v>10</v>
      </c>
      <c r="E14" s="23" t="n">
        <f aca="false">IFERROR(IF(DATE($E$5,$C$5,1)+(10)-WEEKDAY(DATE($E$5,$C$5,1),3)&gt;=DATE($E$5,$C$5,1),IF(MONTH(DATE($E$5,$C$5,1)+(10)-WEEKDAY(DATE($E$5,$C$5,1),3))=$C$5,DAY(DATE($E$5,$C$5,1)+(10)-WEEKDAY(DATE($E$5,$C$5,1),3)),""),""),"")</f>
        <v>11</v>
      </c>
      <c r="F14" s="23" t="n">
        <f aca="false">IFERROR(IF(DATE($E$5,$C$5,1)+(11)-WEEKDAY(DATE($E$5,$C$5,1),3)&gt;=DATE($E$5,$C$5,1),IF(MONTH(DATE($E$5,$C$5,1)+(11)-WEEKDAY(DATE($E$5,$C$5,1),3))=$C$5,DAY(DATE($E$5,$C$5,1)+(11)-WEEKDAY(DATE($E$5,$C$5,1),3)),""),""),"")</f>
        <v>12</v>
      </c>
      <c r="G14" s="24" t="n">
        <f aca="false">IFERROR(IF(DATE($E$5,$C$5,1)+(12)-WEEKDAY(DATE($E$5,$C$5,1),3)&gt;=DATE($E$5,$C$5,1),IF(MONTH(DATE($E$5,$C$5,1)+(12)-WEEKDAY(DATE($E$5,$C$5,1),3))=$C$5,DAY(DATE($E$5,$C$5,1)+(12)-WEEKDAY(DATE($E$5,$C$5,1),3)),""),""),"")</f>
        <v>13</v>
      </c>
      <c r="H14" s="24" t="n">
        <f aca="false">IFERROR(IF(DATE($E$5,$C$5,1)+(13)-WEEKDAY(DATE($E$5,$C$5,1),3)&gt;=DATE($E$5,$C$5,1),IF(MONTH(DATE($E$5,$C$5,1)+(13)-WEEKDAY(DATE($E$5,$C$5,1),3))=$C$5,DAY(DATE($E$5,$C$5,1)+(13)-WEEKDAY(DATE($E$5,$C$5,1),3)),""),""),"")</f>
        <v>14</v>
      </c>
    </row>
    <row r="15" customFormat="false" ht="54" hidden="false" customHeight="true" outlineLevel="0" collapsed="false">
      <c r="B15" s="23" t="n">
        <f aca="false">IFERROR(IF(DATE($E$5,$C$5,1)+(14)-WEEKDAY(DATE($E$5,$C$5,1),3)&gt;=DATE($E$5,$C$5,1),IF(MONTH(DATE($E$5,$C$5,1)+(14)-WEEKDAY(DATE($E$5,$C$5,1),3))=$C$5,DAY(DATE($E$5,$C$5,1)+(14)-WEEKDAY(DATE($E$5,$C$5,1),3)),""),""),"")</f>
        <v>15</v>
      </c>
      <c r="C15" s="23" t="n">
        <f aca="false">IFERROR(IF(DATE($E$5,$C$5,1)+(15)-WEEKDAY(DATE($E$5,$C$5,1),3)&gt;=DATE($E$5,$C$5,1),IF(MONTH(DATE($E$5,$C$5,1)+(15)-WEEKDAY(DATE($E$5,$C$5,1),3))=$C$5,DAY(DATE($E$5,$C$5,1)+(15)-WEEKDAY(DATE($E$5,$C$5,1),3)),""),""),"")</f>
        <v>16</v>
      </c>
      <c r="D15" s="23" t="n">
        <f aca="false">IFERROR(IF(DATE($E$5,$C$5,1)+(16)-WEEKDAY(DATE($E$5,$C$5,1),3)&gt;=DATE($E$5,$C$5,1),IF(MONTH(DATE($E$5,$C$5,1)+(16)-WEEKDAY(DATE($E$5,$C$5,1),3))=$C$5,DAY(DATE($E$5,$C$5,1)+(16)-WEEKDAY(DATE($E$5,$C$5,1),3)),""),""),"")</f>
        <v>17</v>
      </c>
      <c r="E15" s="23" t="n">
        <f aca="false">IFERROR(IF(DATE($E$5,$C$5,1)+(17)-WEEKDAY(DATE($E$5,$C$5,1),3)&gt;=DATE($E$5,$C$5,1),IF(MONTH(DATE($E$5,$C$5,1)+(17)-WEEKDAY(DATE($E$5,$C$5,1),3))=$C$5,DAY(DATE($E$5,$C$5,1)+(17)-WEEKDAY(DATE($E$5,$C$5,1),3)),""),""),"")</f>
        <v>18</v>
      </c>
      <c r="F15" s="23" t="n">
        <f aca="false">IFERROR(IF(DATE($E$5,$C$5,1)+(18)-WEEKDAY(DATE($E$5,$C$5,1),3)&gt;=DATE($E$5,$C$5,1),IF(MONTH(DATE($E$5,$C$5,1)+(18)-WEEKDAY(DATE($E$5,$C$5,1),3))=$C$5,DAY(DATE($E$5,$C$5,1)+(18)-WEEKDAY(DATE($E$5,$C$5,1),3)),""),""),"")</f>
        <v>19</v>
      </c>
      <c r="G15" s="24" t="n">
        <f aca="false">IFERROR(IF(DATE($E$5,$C$5,1)+(19)-WEEKDAY(DATE($E$5,$C$5,1),3)&gt;=DATE($E$5,$C$5,1),IF(MONTH(DATE($E$5,$C$5,1)+(19)-WEEKDAY(DATE($E$5,$C$5,1),3))=$C$5,DAY(DATE($E$5,$C$5,1)+(19)-WEEKDAY(DATE($E$5,$C$5,1),3)),""),""),"")</f>
        <v>20</v>
      </c>
      <c r="H15" s="24" t="n">
        <f aca="false">IFERROR(IF(DATE($E$5,$C$5,1)+(20)-WEEKDAY(DATE($E$5,$C$5,1),3)&gt;=DATE($E$5,$C$5,1),IF(MONTH(DATE($E$5,$C$5,1)+(20)-WEEKDAY(DATE($E$5,$C$5,1),3))=$C$5,DAY(DATE($E$5,$C$5,1)+(20)-WEEKDAY(DATE($E$5,$C$5,1),3)),""),""),"")</f>
        <v>21</v>
      </c>
    </row>
    <row r="16" customFormat="false" ht="54" hidden="false" customHeight="true" outlineLevel="0" collapsed="false">
      <c r="B16" s="23" t="n">
        <f aca="false">IFERROR(IF(DATE($E$5,$C$5,1)+(21)-WEEKDAY(DATE($E$5,$C$5,1),3)&gt;=DATE($E$5,$C$5,1),IF(MONTH(DATE($E$5,$C$5,1)+(21)-WEEKDAY(DATE($E$5,$C$5,1),3))=$C$5,DAY(DATE($E$5,$C$5,1)+(21)-WEEKDAY(DATE($E$5,$C$5,1),3)),""),""),"")</f>
        <v>22</v>
      </c>
      <c r="C16" s="23" t="n">
        <f aca="false">IFERROR(IF(DATE($E$5,$C$5,1)+(22)-WEEKDAY(DATE($E$5,$C$5,1),3)&gt;=DATE($E$5,$C$5,1),IF(MONTH(DATE($E$5,$C$5,1)+(22)-WEEKDAY(DATE($E$5,$C$5,1),3))=$C$5,DAY(DATE($E$5,$C$5,1)+(22)-WEEKDAY(DATE($E$5,$C$5,1),3)),""),""),"")</f>
        <v>23</v>
      </c>
      <c r="D16" s="23" t="n">
        <f aca="false">IFERROR(IF(DATE($E$5,$C$5,1)+(23)-WEEKDAY(DATE($E$5,$C$5,1),3)&gt;=DATE($E$5,$C$5,1),IF(MONTH(DATE($E$5,$C$5,1)+(23)-WEEKDAY(DATE($E$5,$C$5,1),3))=$C$5,DAY(DATE($E$5,$C$5,1)+(23)-WEEKDAY(DATE($E$5,$C$5,1),3)),""),""),"")</f>
        <v>24</v>
      </c>
      <c r="E16" s="23" t="n">
        <f aca="false">IFERROR(IF(DATE($E$5,$C$5,1)+(24)-WEEKDAY(DATE($E$5,$C$5,1),3)&gt;=DATE($E$5,$C$5,1),IF(MONTH(DATE($E$5,$C$5,1)+(24)-WEEKDAY(DATE($E$5,$C$5,1),3))=$C$5,DAY(DATE($E$5,$C$5,1)+(24)-WEEKDAY(DATE($E$5,$C$5,1),3)),""),""),"")</f>
        <v>25</v>
      </c>
      <c r="F16" s="23" t="n">
        <f aca="false">IFERROR(IF(DATE($E$5,$C$5,1)+(25)-WEEKDAY(DATE($E$5,$C$5,1),3)&gt;=DATE($E$5,$C$5,1),IF(MONTH(DATE($E$5,$C$5,1)+(25)-WEEKDAY(DATE($E$5,$C$5,1),3))=$C$5,DAY(DATE($E$5,$C$5,1)+(25)-WEEKDAY(DATE($E$5,$C$5,1),3)),""),""),"")</f>
        <v>26</v>
      </c>
      <c r="G16" s="24" t="n">
        <f aca="false">IFERROR(IF(DATE($E$5,$C$5,1)+(26)-WEEKDAY(DATE($E$5,$C$5,1),3)&gt;=DATE($E$5,$C$5,1),IF(MONTH(DATE($E$5,$C$5,1)+(26)-WEEKDAY(DATE($E$5,$C$5,1),3))=$C$5,DAY(DATE($E$5,$C$5,1)+(26)-WEEKDAY(DATE($E$5,$C$5,1),3)),""),""),"")</f>
        <v>27</v>
      </c>
      <c r="H16" s="24" t="n">
        <f aca="false">IFERROR(IF(DATE($E$5,$C$5,1)+(27)-WEEKDAY(DATE($E$5,$C$5,1),3)&gt;=DATE($E$5,$C$5,1),IF(MONTH(DATE($E$5,$C$5,1)+(27)-WEEKDAY(DATE($E$5,$C$5,1),3))=$C$5,DAY(DATE($E$5,$C$5,1)+(27)-WEEKDAY(DATE($E$5,$C$5,1),3)),""),""),"")</f>
        <v>28</v>
      </c>
    </row>
    <row r="17" customFormat="false" ht="54" hidden="false" customHeight="true" outlineLevel="0" collapsed="false">
      <c r="B17" s="23" t="n">
        <f aca="false">IFERROR(IF(DATE($E$5,$C$5,1)+(28)-WEEKDAY(DATE($E$5,$C$5,1),3)&gt;=DATE($E$5,$C$5,1),IF(MONTH(DATE($E$5,$C$5,1)+(28)-WEEKDAY(DATE($E$5,$C$5,1),3))=$C$5,DAY(DATE($E$5,$C$5,1)+(28)-WEEKDAY(DATE($E$5,$C$5,1),3)),""),""),"")</f>
        <v>29</v>
      </c>
      <c r="C17" s="23" t="n">
        <f aca="false">IFERROR(IF(DATE($E$5,$C$5,1)+(29)-WEEKDAY(DATE($E$5,$C$5,1),3)&gt;=DATE($E$5,$C$5,1),IF(MONTH(DATE($E$5,$C$5,1)+(29)-WEEKDAY(DATE($E$5,$C$5,1),3))=$C$5,DAY(DATE($E$5,$C$5,1)+(29)-WEEKDAY(DATE($E$5,$C$5,1),3)),""),""),"")</f>
        <v>30</v>
      </c>
      <c r="D17" s="25" t="str">
        <f aca="false">IFERROR(IF(DATE($E$5,$C$5,1)+(30)-WEEKDAY(DATE($E$5,$C$5,1),3)&gt;=DATE($E$5,$C$5,1),IF(MONTH(DATE($E$5,$C$5,1)+(30)-WEEKDAY(DATE($E$5,$C$5,1),3))=$C$5,DAY(DATE($E$5,$C$5,1)+(30)-WEEKDAY(DATE($E$5,$C$5,1),3)),""),""),"")</f>
        <v/>
      </c>
      <c r="E17" s="25" t="str">
        <f aca="false">IFERROR(IF(DATE($E$5,$C$5,1)+(31)-WEEKDAY(DATE($E$5,$C$5,1),3)&gt;=DATE($E$5,$C$5,1),IF(MONTH(DATE($E$5,$C$5,1)+(31)-WEEKDAY(DATE($E$5,$C$5,1),3))=$C$5,DAY(DATE($E$5,$C$5,1)+(31)-WEEKDAY(DATE($E$5,$C$5,1),3)),""),""),"")</f>
        <v/>
      </c>
      <c r="F17" s="25" t="str">
        <f aca="false">IFERROR(IF(DATE($E$5,$C$5,1)+(32)-WEEKDAY(DATE($E$5,$C$5,1),3)&gt;=DATE($E$5,$C$5,1),IF(MONTH(DATE($E$5,$C$5,1)+(32)-WEEKDAY(DATE($E$5,$C$5,1),3))=$C$5,DAY(DATE($E$5,$C$5,1)+(32)-WEEKDAY(DATE($E$5,$C$5,1),3)),""),""),"")</f>
        <v/>
      </c>
      <c r="G17" s="26" t="str">
        <f aca="false">IFERROR(IF(DATE($E$5,$C$5,1)+(33)-WEEKDAY(DATE($E$5,$C$5,1),3)&gt;=DATE($E$5,$C$5,1),IF(MONTH(DATE($E$5,$C$5,1)+(33)-WEEKDAY(DATE($E$5,$C$5,1),3))=$C$5,DAY(DATE($E$5,$C$5,1)+(33)-WEEKDAY(DATE($E$5,$C$5,1),3)),""),""),"")</f>
        <v/>
      </c>
      <c r="H17" s="26" t="str">
        <f aca="false">IFERROR(IF(DATE($E$5,$C$5,1)+(34)-WEEKDAY(DATE($E$5,$C$5,1),3)&gt;=DATE($E$5,$C$5,1),IF(MONTH(DATE($E$5,$C$5,1)+(34)-WEEKDAY(DATE($E$5,$C$5,1),3))=$C$5,DAY(DATE($E$5,$C$5,1)+(34)-WEEKDAY(DATE($E$5,$C$5,1),3)),""),""),"")</f>
        <v/>
      </c>
    </row>
    <row r="18" customFormat="false" ht="54" hidden="false" customHeight="true" outlineLevel="0" collapsed="false">
      <c r="B18" s="25" t="str">
        <f aca="false">IFERROR(IF(DATE($E$5,$C$5,1)+(35)-WEEKDAY(DATE($E$5,$C$5,1),3)&gt;=DATE($E$5,$C$5,1),IF(MONTH(DATE($E$5,$C$5,1)+(35)-WEEKDAY(DATE($E$5,$C$5,1),3))=$C$5,DAY(DATE($E$5,$C$5,1)+(35)-WEEKDAY(DATE($E$5,$C$5,1),3)),""),""),"")</f>
        <v/>
      </c>
      <c r="C18" s="25" t="str">
        <f aca="false">IFERROR(IF(DATE($E$5,$C$5,1)+(36)-WEEKDAY(DATE($E$5,$C$5,1),3)&gt;=DATE($E$5,$C$5,1),IF(MONTH(DATE($E$5,$C$5,1)+(36)-WEEKDAY(DATE($E$5,$C$5,1),3))=$C$5,DAY(DATE($E$5,$C$5,1)+(36)-WEEKDAY(DATE($E$5,$C$5,1),3)),""),""),"")</f>
        <v/>
      </c>
      <c r="D18" s="25" t="str">
        <f aca="false">IFERROR(IF(DATE($E$5,$C$5,1)+(37)-WEEKDAY(DATE($E$5,$C$5,1),3)&gt;=DATE($E$5,$C$5,1),IF(MONTH(DATE($E$5,$C$5,1)+(37)-WEEKDAY(DATE($E$5,$C$5,1),3))=$C$5,DAY(DATE($E$5,$C$5,1)+(37)-WEEKDAY(DATE($E$5,$C$5,1),3)),""),""),"")</f>
        <v/>
      </c>
      <c r="E18" s="25" t="str">
        <f aca="false">IFERROR(IF(DATE($E$5,$C$5,1)+(38)-WEEKDAY(DATE($E$5,$C$5,1),3)&gt;=DATE($E$5,$C$5,1),IF(MONTH(DATE($E$5,$C$5,1)+(38)-WEEKDAY(DATE($E$5,$C$5,1),3))=$C$5,DAY(DATE($E$5,$C$5,1)+(38)-WEEKDAY(DATE($E$5,$C$5,1),3)),""),""),"")</f>
        <v/>
      </c>
      <c r="F18" s="25" t="str">
        <f aca="false">IFERROR(IF(DATE($E$5,$C$5,1)+(39)-WEEKDAY(DATE($E$5,$C$5,1),3)&gt;=DATE($E$5,$C$5,1),IF(MONTH(DATE($E$5,$C$5,1)+(39)-WEEKDAY(DATE($E$5,$C$5,1),3))=$C$5,DAY(DATE($E$5,$C$5,1)+(39)-WEEKDAY(DATE($E$5,$C$5,1),3)),""),""),"")</f>
        <v/>
      </c>
      <c r="G18" s="26" t="str">
        <f aca="false">IFERROR(IF(DATE($E$5,$C$5,1)+(40)-WEEKDAY(DATE($E$5,$C$5,1),3)&gt;=DATE($E$5,$C$5,1),IF(MONTH(DATE($E$5,$C$5,1)+(40)-WEEKDAY(DATE($E$5,$C$5,1),3))=$C$5,DAY(DATE($E$5,$C$5,1)+(40)-WEEKDAY(DATE($E$5,$C$5,1),3)),""),""),"")</f>
        <v/>
      </c>
      <c r="H18" s="26" t="str">
        <f aca="false">IFERROR(IF(DATE($E$5,$C$5,1)+(41)-WEEKDAY(DATE($E$5,$C$5,1),3)&gt;=DATE($E$5,$C$5,1),IF(MONTH(DATE($E$5,$C$5,1)+(41)-WEEKDAY(DATE($E$5,$C$5,1),3))=$C$5,DAY(DATE($E$5,$C$5,1)+(41)-WEEKDAY(DATE($E$5,$C$5,1),3)),""),""),"")</f>
        <v/>
      </c>
    </row>
    <row r="20" customFormat="false" ht="15" hidden="false" customHeight="false" outlineLevel="0" collapsed="false">
      <c r="B20" s="10" t="s">
        <v>141</v>
      </c>
      <c r="C20" s="10"/>
      <c r="D20" s="10"/>
      <c r="E20" s="10"/>
      <c r="F20" s="10"/>
      <c r="G20" s="10"/>
      <c r="H20" s="10"/>
    </row>
  </sheetData>
  <mergeCells count="5">
    <mergeCell ref="A2:H2"/>
    <mergeCell ref="B3:H3"/>
    <mergeCell ref="B7:H7"/>
    <mergeCell ref="B11:H11"/>
    <mergeCell ref="B20:H20"/>
  </mergeCells>
  <conditionalFormatting sqref="B13:H18">
    <cfRule type="expression" priority="2" aboveAverage="0" equalAverage="0" bottom="0" percent="0" rank="0" text="" dxfId="0">
      <formula>B13=5</formula>
    </cfRule>
  </conditionalFormatting>
  <conditionalFormatting sqref="B13">
    <cfRule type="expression" priority="3" aboveAverage="0" equalAverage="0" bottom="0" percent="0" rank="0" text="" dxfId="1">
      <formula>B13=5</formula>
    </cfRule>
  </conditionalFormatting>
  <conditionalFormatting sqref="C13">
    <cfRule type="expression" priority="4" aboveAverage="0" equalAverage="0" bottom="0" percent="0" rank="0" text="" dxfId="1">
      <formula>C13=5</formula>
    </cfRule>
  </conditionalFormatting>
  <conditionalFormatting sqref="D13">
    <cfRule type="expression" priority="5" aboveAverage="0" equalAverage="0" bottom="0" percent="0" rank="0" text="" dxfId="1">
      <formula>D13=5</formula>
    </cfRule>
  </conditionalFormatting>
  <conditionalFormatting sqref="E13">
    <cfRule type="expression" priority="6" aboveAverage="0" equalAverage="0" bottom="0" percent="0" rank="0" text="" dxfId="1">
      <formula>E13=5</formula>
    </cfRule>
  </conditionalFormatting>
  <conditionalFormatting sqref="F13">
    <cfRule type="expression" priority="7" aboveAverage="0" equalAverage="0" bottom="0" percent="0" rank="0" text="" dxfId="1">
      <formula>F13=5</formula>
    </cfRule>
  </conditionalFormatting>
  <conditionalFormatting sqref="G13">
    <cfRule type="expression" priority="8" aboveAverage="0" equalAverage="0" bottom="0" percent="0" rank="0" text="" dxfId="1">
      <formula>G13=5</formula>
    </cfRule>
  </conditionalFormatting>
  <conditionalFormatting sqref="H13">
    <cfRule type="expression" priority="9" aboveAverage="0" equalAverage="0" bottom="0" percent="0" rank="0" text="" dxfId="1">
      <formula>H13=5</formula>
    </cfRule>
  </conditionalFormatting>
  <conditionalFormatting sqref="B14">
    <cfRule type="expression" priority="10" aboveAverage="0" equalAverage="0" bottom="0" percent="0" rank="0" text="" dxfId="1">
      <formula>B14=5</formula>
    </cfRule>
  </conditionalFormatting>
  <conditionalFormatting sqref="C14">
    <cfRule type="expression" priority="11" aboveAverage="0" equalAverage="0" bottom="0" percent="0" rank="0" text="" dxfId="1">
      <formula>C14=5</formula>
    </cfRule>
  </conditionalFormatting>
  <conditionalFormatting sqref="D14">
    <cfRule type="expression" priority="12" aboveAverage="0" equalAverage="0" bottom="0" percent="0" rank="0" text="" dxfId="1">
      <formula>D14=5</formula>
    </cfRule>
  </conditionalFormatting>
  <conditionalFormatting sqref="E14">
    <cfRule type="expression" priority="13" aboveAverage="0" equalAverage="0" bottom="0" percent="0" rank="0" text="" dxfId="1">
      <formula>E14=5</formula>
    </cfRule>
  </conditionalFormatting>
  <conditionalFormatting sqref="F14">
    <cfRule type="expression" priority="14" aboveAverage="0" equalAverage="0" bottom="0" percent="0" rank="0" text="" dxfId="1">
      <formula>F14=5</formula>
    </cfRule>
  </conditionalFormatting>
  <conditionalFormatting sqref="G14">
    <cfRule type="expression" priority="15" aboveAverage="0" equalAverage="0" bottom="0" percent="0" rank="0" text="" dxfId="1">
      <formula>G14=5</formula>
    </cfRule>
  </conditionalFormatting>
  <conditionalFormatting sqref="H14">
    <cfRule type="expression" priority="16" aboveAverage="0" equalAverage="0" bottom="0" percent="0" rank="0" text="" dxfId="1">
      <formula>H14=5</formula>
    </cfRule>
  </conditionalFormatting>
  <conditionalFormatting sqref="B15">
    <cfRule type="expression" priority="17" aboveAverage="0" equalAverage="0" bottom="0" percent="0" rank="0" text="" dxfId="1">
      <formula>B15=5</formula>
    </cfRule>
  </conditionalFormatting>
  <conditionalFormatting sqref="C15">
    <cfRule type="expression" priority="18" aboveAverage="0" equalAverage="0" bottom="0" percent="0" rank="0" text="" dxfId="1">
      <formula>C15=5</formula>
    </cfRule>
  </conditionalFormatting>
  <conditionalFormatting sqref="D15">
    <cfRule type="expression" priority="19" aboveAverage="0" equalAverage="0" bottom="0" percent="0" rank="0" text="" dxfId="1">
      <formula>D15=5</formula>
    </cfRule>
  </conditionalFormatting>
  <conditionalFormatting sqref="E15">
    <cfRule type="expression" priority="20" aboveAverage="0" equalAverage="0" bottom="0" percent="0" rank="0" text="" dxfId="1">
      <formula>E15=5</formula>
    </cfRule>
  </conditionalFormatting>
  <conditionalFormatting sqref="F15">
    <cfRule type="expression" priority="21" aboveAverage="0" equalAverage="0" bottom="0" percent="0" rank="0" text="" dxfId="1">
      <formula>F15=5</formula>
    </cfRule>
  </conditionalFormatting>
  <conditionalFormatting sqref="G15">
    <cfRule type="expression" priority="22" aboveAverage="0" equalAverage="0" bottom="0" percent="0" rank="0" text="" dxfId="1">
      <formula>G15=5</formula>
    </cfRule>
  </conditionalFormatting>
  <conditionalFormatting sqref="H15">
    <cfRule type="expression" priority="23" aboveAverage="0" equalAverage="0" bottom="0" percent="0" rank="0" text="" dxfId="1">
      <formula>H15=5</formula>
    </cfRule>
  </conditionalFormatting>
  <conditionalFormatting sqref="B16">
    <cfRule type="expression" priority="24" aboveAverage="0" equalAverage="0" bottom="0" percent="0" rank="0" text="" dxfId="1">
      <formula>B16=5</formula>
    </cfRule>
  </conditionalFormatting>
  <conditionalFormatting sqref="C16">
    <cfRule type="expression" priority="25" aboveAverage="0" equalAverage="0" bottom="0" percent="0" rank="0" text="" dxfId="1">
      <formula>C16=5</formula>
    </cfRule>
  </conditionalFormatting>
  <conditionalFormatting sqref="D16">
    <cfRule type="expression" priority="26" aboveAverage="0" equalAverage="0" bottom="0" percent="0" rank="0" text="" dxfId="1">
      <formula>D16=5</formula>
    </cfRule>
  </conditionalFormatting>
  <conditionalFormatting sqref="E16">
    <cfRule type="expression" priority="27" aboveAverage="0" equalAverage="0" bottom="0" percent="0" rank="0" text="" dxfId="1">
      <formula>E16=5</formula>
    </cfRule>
  </conditionalFormatting>
  <conditionalFormatting sqref="F16">
    <cfRule type="expression" priority="28" aboveAverage="0" equalAverage="0" bottom="0" percent="0" rank="0" text="" dxfId="1">
      <formula>F16=5</formula>
    </cfRule>
  </conditionalFormatting>
  <conditionalFormatting sqref="G16">
    <cfRule type="expression" priority="29" aboveAverage="0" equalAverage="0" bottom="0" percent="0" rank="0" text="" dxfId="1">
      <formula>G16=5</formula>
    </cfRule>
  </conditionalFormatting>
  <conditionalFormatting sqref="H16">
    <cfRule type="expression" priority="30" aboveAverage="0" equalAverage="0" bottom="0" percent="0" rank="0" text="" dxfId="1">
      <formula>H16=5</formula>
    </cfRule>
  </conditionalFormatting>
  <conditionalFormatting sqref="B17">
    <cfRule type="expression" priority="31" aboveAverage="0" equalAverage="0" bottom="0" percent="0" rank="0" text="" dxfId="1">
      <formula>B17=5</formula>
    </cfRule>
  </conditionalFormatting>
  <conditionalFormatting sqref="C17">
    <cfRule type="expression" priority="32" aboveAverage="0" equalAverage="0" bottom="0" percent="0" rank="0" text="" dxfId="1">
      <formula>C17=5</formula>
    </cfRule>
  </conditionalFormatting>
  <conditionalFormatting sqref="D17">
    <cfRule type="expression" priority="33" aboveAverage="0" equalAverage="0" bottom="0" percent="0" rank="0" text="" dxfId="1">
      <formula>D17=5</formula>
    </cfRule>
  </conditionalFormatting>
  <conditionalFormatting sqref="E17">
    <cfRule type="expression" priority="34" aboveAverage="0" equalAverage="0" bottom="0" percent="0" rank="0" text="" dxfId="1">
      <formula>E17=5</formula>
    </cfRule>
  </conditionalFormatting>
  <conditionalFormatting sqref="F17">
    <cfRule type="expression" priority="35" aboveAverage="0" equalAverage="0" bottom="0" percent="0" rank="0" text="" dxfId="1">
      <formula>F17=5</formula>
    </cfRule>
  </conditionalFormatting>
  <conditionalFormatting sqref="G17">
    <cfRule type="expression" priority="36" aboveAverage="0" equalAverage="0" bottom="0" percent="0" rank="0" text="" dxfId="1">
      <formula>G17=5</formula>
    </cfRule>
  </conditionalFormatting>
  <conditionalFormatting sqref="H17">
    <cfRule type="expression" priority="37" aboveAverage="0" equalAverage="0" bottom="0" percent="0" rank="0" text="" dxfId="1">
      <formula>H17=5</formula>
    </cfRule>
  </conditionalFormatting>
  <conditionalFormatting sqref="B18">
    <cfRule type="expression" priority="38" aboveAverage="0" equalAverage="0" bottom="0" percent="0" rank="0" text="" dxfId="1">
      <formula>B18=5</formula>
    </cfRule>
  </conditionalFormatting>
  <conditionalFormatting sqref="C18">
    <cfRule type="expression" priority="39" aboveAverage="0" equalAverage="0" bottom="0" percent="0" rank="0" text="" dxfId="1">
      <formula>C18=5</formula>
    </cfRule>
  </conditionalFormatting>
  <conditionalFormatting sqref="D18">
    <cfRule type="expression" priority="40" aboveAverage="0" equalAverage="0" bottom="0" percent="0" rank="0" text="" dxfId="1">
      <formula>D18=5</formula>
    </cfRule>
  </conditionalFormatting>
  <conditionalFormatting sqref="E18">
    <cfRule type="expression" priority="41" aboveAverage="0" equalAverage="0" bottom="0" percent="0" rank="0" text="" dxfId="1">
      <formula>E18=5</formula>
    </cfRule>
  </conditionalFormatting>
  <conditionalFormatting sqref="F18">
    <cfRule type="expression" priority="42" aboveAverage="0" equalAverage="0" bottom="0" percent="0" rank="0" text="" dxfId="1">
      <formula>F18=5</formula>
    </cfRule>
  </conditionalFormatting>
  <conditionalFormatting sqref="G18">
    <cfRule type="expression" priority="43" aboveAverage="0" equalAverage="0" bottom="0" percent="0" rank="0" text="" dxfId="1">
      <formula>G18=5</formula>
    </cfRule>
  </conditionalFormatting>
  <conditionalFormatting sqref="H18">
    <cfRule type="expression" priority="44" aboveAverage="0" equalAverage="0" bottom="0" percent="0" rank="0" text="" dxfId="1">
      <formula>H18=5</formula>
    </cfRule>
  </conditionalFormatting>
  <dataValidations count="1">
    <dataValidation allowBlank="false" errorStyle="stop" operator="between" showDropDown="false" showErrorMessage="false" showInputMessage="false" sqref="C5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22"/>
  </cols>
  <sheetData>
    <row r="2" customFormat="false" ht="33.75" hidden="false" customHeight="true" outlineLevel="0" collapsed="false">
      <c r="A2" s="1" t="s">
        <v>142</v>
      </c>
      <c r="B2" s="1"/>
      <c r="C2" s="1"/>
      <c r="D2" s="1"/>
      <c r="E2" s="1"/>
      <c r="F2" s="1"/>
    </row>
    <row r="3" customFormat="false" ht="18" hidden="false" customHeight="true" outlineLevel="0" collapsed="false">
      <c r="B3" s="10" t="s">
        <v>143</v>
      </c>
      <c r="C3" s="10"/>
      <c r="D3" s="10"/>
      <c r="E3" s="10"/>
      <c r="F3" s="10"/>
    </row>
    <row r="5" customFormat="false" ht="15" hidden="false" customHeight="false" outlineLevel="0" collapsed="false">
      <c r="B5" s="4" t="s">
        <v>144</v>
      </c>
      <c r="C5" s="18" t="str">
        <f aca="false">TEXT(DATE('Calendário Mensal'!$E$5,'Calendário Mensal'!$C$5,1),"MMMM/AAAA")</f>
        <v>Sivan/Monday</v>
      </c>
      <c r="D5" s="18"/>
    </row>
    <row r="7" customFormat="false" ht="21.75" hidden="false" customHeight="true" outlineLevel="0" collapsed="false">
      <c r="A7" s="6" t="s">
        <v>145</v>
      </c>
      <c r="B7" s="6"/>
      <c r="C7" s="6"/>
      <c r="D7" s="6"/>
      <c r="E7" s="6"/>
    </row>
    <row r="8" customFormat="false" ht="27.75" hidden="false" customHeight="true" outlineLevel="0" collapsed="false">
      <c r="A8" s="11" t="s">
        <v>146</v>
      </c>
      <c r="B8" s="11" t="s">
        <v>147</v>
      </c>
      <c r="C8" s="11" t="s">
        <v>148</v>
      </c>
      <c r="D8" s="11" t="s">
        <v>149</v>
      </c>
    </row>
    <row r="9" customFormat="false" ht="15" hidden="false" customHeight="false" outlineLevel="0" collapsed="false">
      <c r="B9" s="5" t="s">
        <v>150</v>
      </c>
      <c r="C9" s="27" t="n">
        <v>0</v>
      </c>
      <c r="D9" s="27" t="n">
        <v>0</v>
      </c>
      <c r="E9" s="28" t="n">
        <f aca="false">D9-C9</f>
        <v>0</v>
      </c>
    </row>
    <row r="10" customFormat="false" ht="15" hidden="false" customHeight="false" outlineLevel="0" collapsed="false">
      <c r="B10" s="5" t="s">
        <v>151</v>
      </c>
      <c r="C10" s="27" t="n">
        <v>0</v>
      </c>
      <c r="D10" s="27" t="n">
        <v>0</v>
      </c>
      <c r="E10" s="28" t="n">
        <f aca="false">D10-C10</f>
        <v>0</v>
      </c>
    </row>
    <row r="11" customFormat="false" ht="15" hidden="false" customHeight="false" outlineLevel="0" collapsed="false">
      <c r="B11" s="5" t="s">
        <v>152</v>
      </c>
      <c r="C11" s="27" t="n">
        <v>0</v>
      </c>
      <c r="D11" s="27" t="n">
        <v>0</v>
      </c>
      <c r="E11" s="28" t="n">
        <f aca="false">D11-C11</f>
        <v>0</v>
      </c>
    </row>
    <row r="12" customFormat="false" ht="15" hidden="false" customHeight="false" outlineLevel="0" collapsed="false">
      <c r="B12" s="5" t="s">
        <v>153</v>
      </c>
      <c r="C12" s="27" t="n">
        <v>0</v>
      </c>
      <c r="D12" s="27" t="n">
        <v>0</v>
      </c>
      <c r="E12" s="28" t="n">
        <f aca="false">D12-C12</f>
        <v>0</v>
      </c>
    </row>
    <row r="13" customFormat="false" ht="15" hidden="false" customHeight="false" outlineLevel="0" collapsed="false">
      <c r="B13" s="7" t="s">
        <v>154</v>
      </c>
      <c r="C13" s="29" t="n">
        <f aca="false">SUM(C9:C12)</f>
        <v>0</v>
      </c>
      <c r="D13" s="29" t="n">
        <f aca="false">SUM(D9:D12)</f>
        <v>0</v>
      </c>
      <c r="E13" s="29" t="n">
        <f aca="false">D13-C13</f>
        <v>0</v>
      </c>
    </row>
    <row r="15" customFormat="false" ht="21.75" hidden="false" customHeight="true" outlineLevel="0" collapsed="false">
      <c r="A15" s="3" t="s">
        <v>155</v>
      </c>
      <c r="B15" s="3"/>
      <c r="C15" s="3"/>
      <c r="D15" s="3"/>
      <c r="E15" s="3"/>
    </row>
    <row r="16" customFormat="false" ht="27.75" hidden="false" customHeight="true" outlineLevel="0" collapsed="false">
      <c r="A16" s="11" t="s">
        <v>146</v>
      </c>
      <c r="B16" s="11" t="s">
        <v>147</v>
      </c>
      <c r="C16" s="11" t="s">
        <v>148</v>
      </c>
      <c r="D16" s="11" t="s">
        <v>149</v>
      </c>
    </row>
    <row r="17" customFormat="false" ht="23.85" hidden="false" customHeight="false" outlineLevel="0" collapsed="false">
      <c r="B17" s="5" t="s">
        <v>156</v>
      </c>
      <c r="C17" s="27" t="n">
        <v>0</v>
      </c>
      <c r="D17" s="27" t="n">
        <v>0</v>
      </c>
      <c r="E17" s="28" t="n">
        <f aca="false">D17-C17</f>
        <v>0</v>
      </c>
    </row>
    <row r="18" customFormat="false" ht="15" hidden="false" customHeight="false" outlineLevel="0" collapsed="false">
      <c r="B18" s="5" t="s">
        <v>157</v>
      </c>
      <c r="C18" s="27" t="n">
        <v>0</v>
      </c>
      <c r="D18" s="27" t="n">
        <v>0</v>
      </c>
      <c r="E18" s="28" t="n">
        <f aca="false">D18-C18</f>
        <v>0</v>
      </c>
    </row>
    <row r="19" customFormat="false" ht="15" hidden="false" customHeight="false" outlineLevel="0" collapsed="false">
      <c r="B19" s="5" t="s">
        <v>158</v>
      </c>
      <c r="C19" s="27" t="n">
        <v>0</v>
      </c>
      <c r="D19" s="27" t="n">
        <v>0</v>
      </c>
      <c r="E19" s="28" t="n">
        <f aca="false">D19-C19</f>
        <v>0</v>
      </c>
    </row>
    <row r="20" customFormat="false" ht="23.85" hidden="false" customHeight="false" outlineLevel="0" collapsed="false">
      <c r="B20" s="5" t="s">
        <v>159</v>
      </c>
      <c r="C20" s="27" t="n">
        <v>0</v>
      </c>
      <c r="D20" s="27" t="n">
        <v>0</v>
      </c>
      <c r="E20" s="28" t="n">
        <f aca="false">D20-C20</f>
        <v>0</v>
      </c>
    </row>
    <row r="21" customFormat="false" ht="15" hidden="false" customHeight="false" outlineLevel="0" collapsed="false">
      <c r="B21" s="5" t="s">
        <v>160</v>
      </c>
      <c r="C21" s="27" t="n">
        <v>0</v>
      </c>
      <c r="D21" s="27" t="n">
        <v>0</v>
      </c>
      <c r="E21" s="28" t="n">
        <f aca="false">D21-C21</f>
        <v>0</v>
      </c>
    </row>
    <row r="22" customFormat="false" ht="23.85" hidden="false" customHeight="false" outlineLevel="0" collapsed="false">
      <c r="B22" s="5" t="s">
        <v>161</v>
      </c>
      <c r="C22" s="27" t="n">
        <v>0</v>
      </c>
      <c r="D22" s="27" t="n">
        <v>0</v>
      </c>
      <c r="E22" s="28" t="n">
        <f aca="false">D22-C22</f>
        <v>0</v>
      </c>
    </row>
    <row r="23" customFormat="false" ht="23.85" hidden="false" customHeight="false" outlineLevel="0" collapsed="false">
      <c r="B23" s="5" t="s">
        <v>162</v>
      </c>
      <c r="C23" s="27" t="n">
        <v>0</v>
      </c>
      <c r="D23" s="27" t="n">
        <v>0</v>
      </c>
      <c r="E23" s="28" t="n">
        <f aca="false">D23-C23</f>
        <v>0</v>
      </c>
    </row>
    <row r="24" customFormat="false" ht="15" hidden="false" customHeight="false" outlineLevel="0" collapsed="false">
      <c r="B24" s="4" t="s">
        <v>163</v>
      </c>
      <c r="C24" s="30" t="n">
        <f aca="false">SUM(C17:C23)</f>
        <v>0</v>
      </c>
      <c r="D24" s="30" t="n">
        <f aca="false">SUM(D17:D23)</f>
        <v>0</v>
      </c>
      <c r="E24" s="30" t="n">
        <f aca="false">D24-C24</f>
        <v>0</v>
      </c>
    </row>
    <row r="26" customFormat="false" ht="21.75" hidden="false" customHeight="true" outlineLevel="0" collapsed="false">
      <c r="A26" s="8" t="s">
        <v>164</v>
      </c>
      <c r="B26" s="8"/>
      <c r="C26" s="8"/>
      <c r="D26" s="8"/>
      <c r="E26" s="8"/>
    </row>
    <row r="27" customFormat="false" ht="15" hidden="false" customHeight="false" outlineLevel="0" collapsed="false">
      <c r="B27" s="31" t="s">
        <v>165</v>
      </c>
      <c r="C27" s="32" t="s">
        <v>166</v>
      </c>
      <c r="D27" s="32" t="s">
        <v>167</v>
      </c>
    </row>
    <row r="28" customFormat="false" ht="15" hidden="false" customHeight="false" outlineLevel="0" collapsed="false">
      <c r="B28" s="33" t="s">
        <v>168</v>
      </c>
      <c r="C28" s="34" t="n">
        <f aca="false">C13-C24</f>
        <v>0</v>
      </c>
      <c r="D28" s="34" t="n">
        <f aca="false">D13-D24</f>
        <v>0</v>
      </c>
    </row>
    <row r="30" customFormat="false" ht="21.75" hidden="false" customHeight="true" outlineLevel="0" collapsed="false">
      <c r="A30" s="6" t="s">
        <v>169</v>
      </c>
      <c r="B30" s="6"/>
      <c r="C30" s="6"/>
      <c r="D30" s="6"/>
      <c r="E30" s="6"/>
    </row>
    <row r="31" customFormat="false" ht="23.85" hidden="false" customHeight="false" outlineLevel="0" collapsed="false">
      <c r="B31" s="5" t="s">
        <v>170</v>
      </c>
      <c r="C31" s="35"/>
      <c r="D31" s="35"/>
      <c r="E31" s="35"/>
    </row>
    <row r="32" customFormat="false" ht="23.85" hidden="false" customHeight="false" outlineLevel="0" collapsed="false">
      <c r="B32" s="5" t="s">
        <v>171</v>
      </c>
      <c r="C32" s="35"/>
      <c r="D32" s="35"/>
      <c r="E32" s="35"/>
    </row>
    <row r="33" customFormat="false" ht="15" hidden="false" customHeight="false" outlineLevel="0" collapsed="false">
      <c r="B33" s="5" t="s">
        <v>172</v>
      </c>
      <c r="C33" s="35"/>
      <c r="D33" s="35"/>
      <c r="E33" s="35"/>
    </row>
    <row r="34" customFormat="false" ht="35.05" hidden="false" customHeight="false" outlineLevel="0" collapsed="false">
      <c r="B34" s="5" t="s">
        <v>173</v>
      </c>
      <c r="C34" s="35"/>
      <c r="D34" s="35"/>
      <c r="E34" s="35"/>
    </row>
    <row r="36" customFormat="false" ht="21.75" hidden="false" customHeight="true" outlineLevel="0" collapsed="false">
      <c r="A36" s="3" t="s">
        <v>174</v>
      </c>
      <c r="B36" s="3"/>
      <c r="C36" s="3"/>
      <c r="D36" s="3"/>
      <c r="E36" s="3"/>
    </row>
    <row r="37" customFormat="false" ht="18" hidden="false" customHeight="true" outlineLevel="0" collapsed="false">
      <c r="B37" s="36" t="s">
        <v>175</v>
      </c>
      <c r="C37" s="36"/>
      <c r="D37" s="36"/>
      <c r="E37" s="36"/>
    </row>
    <row r="38" customFormat="false" ht="18" hidden="false" customHeight="true" outlineLevel="0" collapsed="false">
      <c r="B38" s="36" t="s">
        <v>176</v>
      </c>
      <c r="C38" s="36"/>
      <c r="D38" s="36"/>
      <c r="E38" s="36"/>
    </row>
    <row r="39" customFormat="false" ht="18" hidden="false" customHeight="true" outlineLevel="0" collapsed="false">
      <c r="B39" s="36" t="s">
        <v>177</v>
      </c>
      <c r="C39" s="36"/>
      <c r="D39" s="36"/>
      <c r="E39" s="36"/>
    </row>
    <row r="40" customFormat="false" ht="18" hidden="false" customHeight="true" outlineLevel="0" collapsed="false">
      <c r="B40" s="36" t="s">
        <v>178</v>
      </c>
      <c r="C40" s="36"/>
      <c r="D40" s="36"/>
      <c r="E40" s="36"/>
    </row>
    <row r="41" customFormat="false" ht="18" hidden="false" customHeight="true" outlineLevel="0" collapsed="false">
      <c r="B41" s="36" t="s">
        <v>179</v>
      </c>
      <c r="C41" s="36"/>
      <c r="D41" s="36"/>
      <c r="E41" s="36"/>
    </row>
    <row r="42" customFormat="false" ht="18" hidden="false" customHeight="true" outlineLevel="0" collapsed="false">
      <c r="B42" s="36" t="s">
        <v>180</v>
      </c>
      <c r="C42" s="36"/>
      <c r="D42" s="36"/>
      <c r="E42" s="36"/>
    </row>
  </sheetData>
  <mergeCells count="18">
    <mergeCell ref="A2:F2"/>
    <mergeCell ref="B3:F3"/>
    <mergeCell ref="C5:D5"/>
    <mergeCell ref="A7:E7"/>
    <mergeCell ref="A15:E15"/>
    <mergeCell ref="A26:E26"/>
    <mergeCell ref="A30:E30"/>
    <mergeCell ref="C31:E31"/>
    <mergeCell ref="C32:E32"/>
    <mergeCell ref="C33:E33"/>
    <mergeCell ref="C34:E34"/>
    <mergeCell ref="A36:E36"/>
    <mergeCell ref="B37:E37"/>
    <mergeCell ref="B38:E38"/>
    <mergeCell ref="B39:E39"/>
    <mergeCell ref="B40:E40"/>
    <mergeCell ref="B41:E41"/>
    <mergeCell ref="B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</cols>
  <sheetData>
    <row r="2" customFormat="false" ht="33.75" hidden="false" customHeight="true" outlineLevel="0" collapsed="false">
      <c r="A2" s="1" t="s">
        <v>181</v>
      </c>
      <c r="B2" s="1"/>
      <c r="C2" s="1"/>
      <c r="D2" s="1"/>
      <c r="E2" s="1"/>
      <c r="F2" s="1"/>
    </row>
    <row r="3" customFormat="false" ht="18" hidden="false" customHeight="true" outlineLevel="0" collapsed="false">
      <c r="B3" s="10" t="s">
        <v>182</v>
      </c>
      <c r="C3" s="10"/>
      <c r="D3" s="10"/>
      <c r="E3" s="10"/>
      <c r="F3" s="10"/>
    </row>
    <row r="5" customFormat="false" ht="21.75" hidden="false" customHeight="true" outlineLevel="0" collapsed="false">
      <c r="A5" s="6" t="s">
        <v>183</v>
      </c>
      <c r="B5" s="6"/>
      <c r="C5" s="6"/>
      <c r="D5" s="6"/>
      <c r="E5" s="6"/>
    </row>
    <row r="6" customFormat="false" ht="27.75" hidden="false" customHeight="true" outlineLevel="0" collapsed="false">
      <c r="A6" s="11" t="s">
        <v>146</v>
      </c>
      <c r="B6" s="11" t="s">
        <v>184</v>
      </c>
      <c r="C6" s="11" t="s">
        <v>185</v>
      </c>
      <c r="D6" s="11" t="s">
        <v>186</v>
      </c>
    </row>
    <row r="7" customFormat="false" ht="23.85" hidden="false" customHeight="false" outlineLevel="0" collapsed="false">
      <c r="B7" s="5" t="s">
        <v>187</v>
      </c>
      <c r="C7" s="37"/>
      <c r="D7" s="27" t="n">
        <v>0</v>
      </c>
      <c r="E7" s="27" t="n">
        <v>0</v>
      </c>
    </row>
    <row r="8" customFormat="false" ht="23.85" hidden="false" customHeight="false" outlineLevel="0" collapsed="false">
      <c r="B8" s="5" t="s">
        <v>188</v>
      </c>
      <c r="C8" s="37"/>
      <c r="D8" s="27" t="n">
        <v>0</v>
      </c>
      <c r="E8" s="27" t="n">
        <v>0</v>
      </c>
    </row>
    <row r="9" customFormat="false" ht="15" hidden="false" customHeight="false" outlineLevel="0" collapsed="false">
      <c r="B9" s="5" t="s">
        <v>189</v>
      </c>
      <c r="C9" s="37"/>
      <c r="D9" s="27" t="n">
        <v>0</v>
      </c>
      <c r="E9" s="27" t="n">
        <v>0</v>
      </c>
    </row>
    <row r="10" customFormat="false" ht="15" hidden="false" customHeight="false" outlineLevel="0" collapsed="false">
      <c r="B10" s="5" t="s">
        <v>190</v>
      </c>
      <c r="C10" s="37"/>
      <c r="D10" s="27" t="n">
        <v>0</v>
      </c>
      <c r="E10" s="27" t="n">
        <v>0</v>
      </c>
    </row>
    <row r="11" customFormat="false" ht="15" hidden="false" customHeight="false" outlineLevel="0" collapsed="false">
      <c r="B11" s="5" t="s">
        <v>191</v>
      </c>
      <c r="C11" s="37"/>
      <c r="D11" s="27" t="n">
        <v>0</v>
      </c>
      <c r="E11" s="27" t="n">
        <v>0</v>
      </c>
    </row>
    <row r="12" customFormat="false" ht="15" hidden="false" customHeight="false" outlineLevel="0" collapsed="false">
      <c r="B12" s="5" t="s">
        <v>158</v>
      </c>
      <c r="C12" s="37"/>
      <c r="D12" s="27" t="n">
        <v>0</v>
      </c>
      <c r="E12" s="27" t="n">
        <v>0</v>
      </c>
    </row>
    <row r="13" customFormat="false" ht="15" hidden="false" customHeight="false" outlineLevel="0" collapsed="false">
      <c r="B13" s="5" t="s">
        <v>192</v>
      </c>
      <c r="C13" s="37"/>
      <c r="D13" s="27" t="n">
        <v>0</v>
      </c>
      <c r="E13" s="27" t="n">
        <v>0</v>
      </c>
    </row>
    <row r="14" customFormat="false" ht="15" hidden="false" customHeight="false" outlineLevel="0" collapsed="false">
      <c r="B14" s="5" t="s">
        <v>193</v>
      </c>
      <c r="C14" s="37"/>
      <c r="D14" s="27" t="n">
        <v>0</v>
      </c>
      <c r="E14" s="27" t="n">
        <v>0</v>
      </c>
    </row>
    <row r="15" customFormat="false" ht="15" hidden="false" customHeight="false" outlineLevel="0" collapsed="false">
      <c r="B15" s="38" t="s">
        <v>194</v>
      </c>
      <c r="C15" s="38"/>
      <c r="D15" s="39" t="n">
        <f aca="false">SUM(D7:D14)</f>
        <v>0</v>
      </c>
      <c r="E15" s="39" t="n">
        <f aca="false">SUM(E7:E14)</f>
        <v>0</v>
      </c>
    </row>
    <row r="16" customFormat="false" ht="15" hidden="false" customHeight="false" outlineLevel="0" collapsed="false">
      <c r="B16" s="31" t="s">
        <v>195</v>
      </c>
      <c r="C16" s="31"/>
      <c r="D16" s="40" t="n">
        <f aca="false">D15-E15</f>
        <v>0</v>
      </c>
      <c r="E16" s="40"/>
    </row>
    <row r="18" customFormat="false" ht="21.75" hidden="false" customHeight="true" outlineLevel="0" collapsed="false">
      <c r="A18" s="3" t="s">
        <v>196</v>
      </c>
      <c r="B18" s="3"/>
      <c r="C18" s="3"/>
      <c r="D18" s="3"/>
      <c r="E18" s="3"/>
    </row>
    <row r="19" customFormat="false" ht="27.75" hidden="false" customHeight="true" outlineLevel="0" collapsed="false">
      <c r="A19" s="11" t="s">
        <v>146</v>
      </c>
      <c r="B19" s="11" t="s">
        <v>184</v>
      </c>
      <c r="C19" s="11" t="s">
        <v>185</v>
      </c>
      <c r="D19" s="11" t="s">
        <v>186</v>
      </c>
    </row>
    <row r="20" customFormat="false" ht="23.85" hidden="false" customHeight="false" outlineLevel="0" collapsed="false">
      <c r="B20" s="5" t="s">
        <v>187</v>
      </c>
      <c r="C20" s="37"/>
      <c r="D20" s="27" t="n">
        <v>0</v>
      </c>
      <c r="E20" s="27" t="n">
        <v>0</v>
      </c>
    </row>
    <row r="21" customFormat="false" ht="23.85" hidden="false" customHeight="false" outlineLevel="0" collapsed="false">
      <c r="B21" s="5" t="s">
        <v>188</v>
      </c>
      <c r="C21" s="37"/>
      <c r="D21" s="27" t="n">
        <v>0</v>
      </c>
      <c r="E21" s="27" t="n">
        <v>0</v>
      </c>
    </row>
    <row r="22" customFormat="false" ht="15" hidden="false" customHeight="false" outlineLevel="0" collapsed="false">
      <c r="B22" s="5" t="s">
        <v>189</v>
      </c>
      <c r="C22" s="37"/>
      <c r="D22" s="27" t="n">
        <v>0</v>
      </c>
      <c r="E22" s="27" t="n">
        <v>0</v>
      </c>
    </row>
    <row r="23" customFormat="false" ht="15" hidden="false" customHeight="false" outlineLevel="0" collapsed="false">
      <c r="B23" s="5" t="s">
        <v>190</v>
      </c>
      <c r="C23" s="37"/>
      <c r="D23" s="27" t="n">
        <v>0</v>
      </c>
      <c r="E23" s="27" t="n">
        <v>0</v>
      </c>
    </row>
    <row r="24" customFormat="false" ht="15" hidden="false" customHeight="false" outlineLevel="0" collapsed="false">
      <c r="B24" s="5" t="s">
        <v>191</v>
      </c>
      <c r="C24" s="37"/>
      <c r="D24" s="27" t="n">
        <v>0</v>
      </c>
      <c r="E24" s="27" t="n">
        <v>0</v>
      </c>
    </row>
    <row r="25" customFormat="false" ht="15" hidden="false" customHeight="false" outlineLevel="0" collapsed="false">
      <c r="B25" s="5" t="s">
        <v>158</v>
      </c>
      <c r="C25" s="37"/>
      <c r="D25" s="27" t="n">
        <v>0</v>
      </c>
      <c r="E25" s="27" t="n">
        <v>0</v>
      </c>
    </row>
    <row r="26" customFormat="false" ht="15" hidden="false" customHeight="false" outlineLevel="0" collapsed="false">
      <c r="B26" s="5" t="s">
        <v>192</v>
      </c>
      <c r="C26" s="37"/>
      <c r="D26" s="27" t="n">
        <v>0</v>
      </c>
      <c r="E26" s="27" t="n">
        <v>0</v>
      </c>
    </row>
    <row r="27" customFormat="false" ht="15" hidden="false" customHeight="false" outlineLevel="0" collapsed="false">
      <c r="B27" s="5" t="s">
        <v>193</v>
      </c>
      <c r="C27" s="37"/>
      <c r="D27" s="27" t="n">
        <v>0</v>
      </c>
      <c r="E27" s="27" t="n">
        <v>0</v>
      </c>
    </row>
    <row r="28" customFormat="false" ht="15" hidden="false" customHeight="false" outlineLevel="0" collapsed="false">
      <c r="B28" s="41" t="s">
        <v>194</v>
      </c>
      <c r="C28" s="41"/>
      <c r="D28" s="42" t="n">
        <f aca="false">SUM(D20:D27)</f>
        <v>0</v>
      </c>
      <c r="E28" s="42" t="n">
        <f aca="false">SUM(E20:E27)</f>
        <v>0</v>
      </c>
    </row>
    <row r="29" customFormat="false" ht="15" hidden="false" customHeight="false" outlineLevel="0" collapsed="false">
      <c r="B29" s="31" t="s">
        <v>195</v>
      </c>
      <c r="C29" s="31"/>
      <c r="D29" s="40" t="n">
        <f aca="false">D28-E28</f>
        <v>0</v>
      </c>
      <c r="E29" s="40"/>
    </row>
  </sheetData>
  <mergeCells count="8">
    <mergeCell ref="A2:F2"/>
    <mergeCell ref="B3:F3"/>
    <mergeCell ref="A5:E5"/>
    <mergeCell ref="B16:C16"/>
    <mergeCell ref="D16:E16"/>
    <mergeCell ref="A18:E18"/>
    <mergeCell ref="B29:C29"/>
    <mergeCell ref="D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2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</cols>
  <sheetData>
    <row r="2" customFormat="false" ht="33.75" hidden="false" customHeight="true" outlineLevel="0" collapsed="false">
      <c r="A2" s="1" t="s">
        <v>197</v>
      </c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B3" s="10" t="s">
        <v>198</v>
      </c>
      <c r="C3" s="10"/>
      <c r="D3" s="10"/>
      <c r="E3" s="10"/>
      <c r="F3" s="10"/>
      <c r="G3" s="10"/>
    </row>
    <row r="5" customFormat="false" ht="27.75" hidden="false" customHeight="true" outlineLevel="0" collapsed="false">
      <c r="B5" s="11" t="s">
        <v>199</v>
      </c>
      <c r="C5" s="11" t="s">
        <v>200</v>
      </c>
      <c r="D5" s="11" t="s">
        <v>146</v>
      </c>
      <c r="E5" s="11" t="s">
        <v>201</v>
      </c>
      <c r="F5" s="11" t="s">
        <v>202</v>
      </c>
      <c r="G5" s="11" t="s">
        <v>203</v>
      </c>
    </row>
    <row r="6" customFormat="false" ht="15" hidden="false" customHeight="false" outlineLevel="0" collapsed="false">
      <c r="B6" s="37" t="s">
        <v>204</v>
      </c>
      <c r="C6" s="5" t="s">
        <v>205</v>
      </c>
      <c r="D6" s="5" t="s">
        <v>206</v>
      </c>
      <c r="E6" s="27" t="n">
        <v>1000</v>
      </c>
      <c r="F6" s="43"/>
      <c r="G6" s="5" t="s">
        <v>50</v>
      </c>
    </row>
    <row r="7" customFormat="false" ht="15" hidden="false" customHeight="false" outlineLevel="0" collapsed="false">
      <c r="B7" s="37" t="s">
        <v>204</v>
      </c>
      <c r="C7" s="5" t="s">
        <v>205</v>
      </c>
      <c r="D7" s="5" t="s">
        <v>207</v>
      </c>
      <c r="E7" s="27" t="n">
        <v>100</v>
      </c>
      <c r="F7" s="43"/>
      <c r="G7" s="5" t="s">
        <v>50</v>
      </c>
    </row>
    <row r="8" customFormat="false" ht="15" hidden="false" customHeight="false" outlineLevel="0" collapsed="false">
      <c r="B8" s="37" t="s">
        <v>204</v>
      </c>
      <c r="C8" s="5" t="s">
        <v>205</v>
      </c>
      <c r="D8" s="5" t="s">
        <v>208</v>
      </c>
      <c r="E8" s="27" t="n">
        <v>300</v>
      </c>
      <c r="F8" s="43"/>
      <c r="G8" s="5" t="s">
        <v>50</v>
      </c>
    </row>
    <row r="9" customFormat="false" ht="15" hidden="false" customHeight="false" outlineLevel="0" collapsed="false">
      <c r="B9" s="37" t="s">
        <v>204</v>
      </c>
      <c r="C9" s="5" t="s">
        <v>205</v>
      </c>
      <c r="D9" s="5" t="s">
        <v>209</v>
      </c>
      <c r="E9" s="27" t="n">
        <v>200</v>
      </c>
      <c r="F9" s="43"/>
      <c r="G9" s="5" t="s">
        <v>50</v>
      </c>
    </row>
    <row r="10" customFormat="false" ht="15" hidden="false" customHeight="false" outlineLevel="0" collapsed="false">
      <c r="B10" s="37" t="s">
        <v>204</v>
      </c>
      <c r="C10" s="5" t="s">
        <v>205</v>
      </c>
      <c r="D10" s="5" t="s">
        <v>210</v>
      </c>
      <c r="E10" s="27" t="n">
        <v>100</v>
      </c>
      <c r="F10" s="43"/>
      <c r="G10" s="5" t="s">
        <v>50</v>
      </c>
    </row>
    <row r="11" customFormat="false" ht="15" hidden="false" customHeight="false" outlineLevel="0" collapsed="false">
      <c r="B11" s="37" t="s">
        <v>204</v>
      </c>
      <c r="C11" s="5" t="s">
        <v>205</v>
      </c>
      <c r="D11" s="5" t="s">
        <v>211</v>
      </c>
      <c r="E11" s="27" t="n">
        <v>500</v>
      </c>
      <c r="F11" s="43"/>
      <c r="G11" s="5" t="s">
        <v>50</v>
      </c>
    </row>
    <row r="12" customFormat="false" ht="23.85" hidden="false" customHeight="false" outlineLevel="0" collapsed="false">
      <c r="B12" s="37" t="s">
        <v>212</v>
      </c>
      <c r="C12" s="5" t="s">
        <v>213</v>
      </c>
      <c r="D12" s="5" t="s">
        <v>191</v>
      </c>
      <c r="E12" s="27" t="n">
        <v>850</v>
      </c>
      <c r="F12" s="43"/>
      <c r="G12" s="5" t="s">
        <v>50</v>
      </c>
    </row>
    <row r="13" customFormat="false" ht="15" hidden="false" customHeight="false" outlineLevel="0" collapsed="false">
      <c r="B13" s="37" t="s">
        <v>214</v>
      </c>
      <c r="C13" s="5" t="s">
        <v>215</v>
      </c>
      <c r="D13" s="5" t="s">
        <v>216</v>
      </c>
      <c r="E13" s="27" t="n">
        <v>3500</v>
      </c>
      <c r="F13" s="43"/>
      <c r="G13" s="5" t="s">
        <v>217</v>
      </c>
    </row>
    <row r="14" customFormat="false" ht="15" hidden="false" customHeight="false" outlineLevel="0" collapsed="false">
      <c r="B14" s="37" t="s">
        <v>214</v>
      </c>
      <c r="C14" s="5" t="s">
        <v>215</v>
      </c>
      <c r="D14" s="5" t="s">
        <v>218</v>
      </c>
      <c r="E14" s="27" t="n">
        <v>2000</v>
      </c>
      <c r="F14" s="43"/>
      <c r="G14" s="5" t="s">
        <v>217</v>
      </c>
    </row>
    <row r="15" customFormat="false" ht="15" hidden="false" customHeight="false" outlineLevel="0" collapsed="false">
      <c r="B15" s="37" t="s">
        <v>214</v>
      </c>
      <c r="C15" s="5" t="s">
        <v>215</v>
      </c>
      <c r="D15" s="5" t="s">
        <v>50</v>
      </c>
      <c r="E15" s="27" t="n">
        <v>2300</v>
      </c>
      <c r="F15" s="43"/>
      <c r="G15" s="5" t="s">
        <v>217</v>
      </c>
    </row>
    <row r="16" customFormat="false" ht="15" hidden="false" customHeight="false" outlineLevel="0" collapsed="false">
      <c r="B16" s="37" t="s">
        <v>214</v>
      </c>
      <c r="C16" s="5" t="s">
        <v>215</v>
      </c>
      <c r="D16" s="5" t="s">
        <v>219</v>
      </c>
      <c r="E16" s="27" t="n">
        <v>2200</v>
      </c>
      <c r="F16" s="43"/>
      <c r="G16" s="5" t="s">
        <v>217</v>
      </c>
    </row>
    <row r="17" customFormat="false" ht="15" hidden="false" customHeight="false" outlineLevel="0" collapsed="false">
      <c r="B17" s="37" t="s">
        <v>214</v>
      </c>
      <c r="C17" s="5" t="s">
        <v>215</v>
      </c>
      <c r="D17" s="5" t="s">
        <v>220</v>
      </c>
      <c r="E17" s="27" t="n">
        <v>0</v>
      </c>
      <c r="F17" s="43"/>
      <c r="G17" s="5" t="s">
        <v>217</v>
      </c>
    </row>
    <row r="18" customFormat="false" ht="23.85" hidden="false" customHeight="false" outlineLevel="0" collapsed="false">
      <c r="B18" s="37" t="s">
        <v>221</v>
      </c>
      <c r="C18" s="5" t="s">
        <v>222</v>
      </c>
      <c r="D18" s="5" t="s">
        <v>223</v>
      </c>
      <c r="E18" s="27" t="n">
        <v>200</v>
      </c>
      <c r="F18" s="43"/>
      <c r="G18" s="5" t="s">
        <v>50</v>
      </c>
    </row>
    <row r="19" customFormat="false" ht="23.85" hidden="false" customHeight="false" outlineLevel="0" collapsed="false">
      <c r="B19" s="37" t="s">
        <v>221</v>
      </c>
      <c r="C19" s="5" t="s">
        <v>222</v>
      </c>
      <c r="D19" s="5" t="s">
        <v>224</v>
      </c>
      <c r="E19" s="27" t="n">
        <v>440</v>
      </c>
      <c r="F19" s="43"/>
      <c r="G19" s="5" t="s">
        <v>50</v>
      </c>
    </row>
    <row r="20" customFormat="false" ht="15" hidden="false" customHeight="false" outlineLevel="0" collapsed="false">
      <c r="B20" s="37" t="s">
        <v>225</v>
      </c>
      <c r="C20" s="5" t="s">
        <v>226</v>
      </c>
      <c r="D20" s="5" t="s">
        <v>227</v>
      </c>
      <c r="E20" s="27" t="n">
        <v>2000</v>
      </c>
      <c r="F20" s="43"/>
      <c r="G20" s="5" t="s">
        <v>228</v>
      </c>
    </row>
    <row r="21" customFormat="false" ht="23.85" hidden="false" customHeight="false" outlineLevel="0" collapsed="false">
      <c r="B21" s="37" t="s">
        <v>229</v>
      </c>
      <c r="C21" s="5" t="s">
        <v>230</v>
      </c>
      <c r="D21" s="5" t="s">
        <v>231</v>
      </c>
      <c r="E21" s="27" t="n">
        <v>0</v>
      </c>
      <c r="F21" s="43"/>
      <c r="G21" s="5" t="s">
        <v>50</v>
      </c>
    </row>
    <row r="22" customFormat="false" ht="23.85" hidden="false" customHeight="false" outlineLevel="0" collapsed="false">
      <c r="B22" s="37" t="s">
        <v>229</v>
      </c>
      <c r="C22" s="5" t="s">
        <v>230</v>
      </c>
      <c r="D22" s="5" t="s">
        <v>232</v>
      </c>
      <c r="E22" s="27" t="n">
        <v>0</v>
      </c>
      <c r="F22" s="43"/>
      <c r="G22" s="5" t="s">
        <v>50</v>
      </c>
    </row>
    <row r="23" customFormat="false" ht="23.85" hidden="false" customHeight="false" outlineLevel="0" collapsed="false">
      <c r="B23" s="37" t="s">
        <v>229</v>
      </c>
      <c r="C23" s="5" t="s">
        <v>230</v>
      </c>
      <c r="D23" s="5" t="s">
        <v>233</v>
      </c>
      <c r="E23" s="27" t="n">
        <v>0</v>
      </c>
      <c r="F23" s="43"/>
      <c r="G23" s="5" t="s">
        <v>50</v>
      </c>
    </row>
    <row r="24" customFormat="false" ht="23.85" hidden="false" customHeight="false" outlineLevel="0" collapsed="false">
      <c r="B24" s="37" t="s">
        <v>229</v>
      </c>
      <c r="C24" s="5" t="s">
        <v>230</v>
      </c>
      <c r="D24" s="5" t="s">
        <v>234</v>
      </c>
      <c r="E24" s="27" t="n">
        <v>0</v>
      </c>
      <c r="F24" s="43"/>
      <c r="G24" s="5" t="s">
        <v>50</v>
      </c>
    </row>
    <row r="25" customFormat="false" ht="23.85" hidden="false" customHeight="false" outlineLevel="0" collapsed="false">
      <c r="B25" s="37" t="s">
        <v>235</v>
      </c>
      <c r="C25" s="5" t="s">
        <v>236</v>
      </c>
      <c r="D25" s="5" t="s">
        <v>237</v>
      </c>
      <c r="E25" s="27" t="n">
        <v>0</v>
      </c>
      <c r="F25" s="43"/>
      <c r="G25" s="5" t="s">
        <v>238</v>
      </c>
    </row>
    <row r="26" customFormat="false" ht="23.85" hidden="false" customHeight="false" outlineLevel="0" collapsed="false">
      <c r="B26" s="37" t="s">
        <v>239</v>
      </c>
      <c r="C26" s="5" t="s">
        <v>240</v>
      </c>
      <c r="D26" s="5" t="s">
        <v>241</v>
      </c>
      <c r="E26" s="27" t="n">
        <v>3000</v>
      </c>
      <c r="F26" s="43"/>
      <c r="G26" s="5" t="s">
        <v>242</v>
      </c>
    </row>
    <row r="27" customFormat="false" ht="15" hidden="false" customHeight="false" outlineLevel="0" collapsed="false">
      <c r="B27" s="4"/>
      <c r="C27" s="4"/>
      <c r="D27" s="4" t="s">
        <v>243</v>
      </c>
      <c r="E27" s="30" t="n">
        <f aca="false">SUM(E6:E26)-E26</f>
        <v>15690</v>
      </c>
      <c r="F27" s="4"/>
      <c r="G27" s="4"/>
    </row>
    <row r="28" customFormat="false" ht="15" hidden="false" customHeight="false" outlineLevel="0" collapsed="false">
      <c r="B28" s="31"/>
      <c r="C28" s="31"/>
      <c r="D28" s="31" t="s">
        <v>244</v>
      </c>
      <c r="E28" s="44" t="n">
        <f aca="false">SUM(E6:E26)</f>
        <v>18690</v>
      </c>
      <c r="F28" s="31"/>
      <c r="G28" s="31"/>
    </row>
    <row r="31" customFormat="false" ht="21.75" hidden="false" customHeight="true" outlineLevel="0" collapsed="false">
      <c r="B31" s="8" t="s">
        <v>245</v>
      </c>
      <c r="C31" s="8"/>
      <c r="D31" s="8"/>
      <c r="E31" s="8"/>
      <c r="F31" s="8"/>
      <c r="G31" s="8"/>
    </row>
    <row r="32" customFormat="false" ht="27.75" hidden="false" customHeight="true" outlineLevel="0" collapsed="false">
      <c r="B32" s="11" t="s">
        <v>246</v>
      </c>
      <c r="C32" s="11" t="s">
        <v>247</v>
      </c>
    </row>
    <row r="33" customFormat="false" ht="19.5" hidden="false" customHeight="true" outlineLevel="0" collapsed="false">
      <c r="B33" s="5" t="s">
        <v>248</v>
      </c>
      <c r="C33" s="5" t="s">
        <v>249</v>
      </c>
      <c r="D33" s="5"/>
      <c r="E33" s="5"/>
      <c r="F33" s="5"/>
      <c r="G33" s="5"/>
    </row>
    <row r="34" customFormat="false" ht="19.5" hidden="false" customHeight="true" outlineLevel="0" collapsed="false">
      <c r="B34" s="5" t="s">
        <v>250</v>
      </c>
      <c r="C34" s="5" t="s">
        <v>238</v>
      </c>
      <c r="D34" s="5"/>
      <c r="E34" s="5"/>
      <c r="F34" s="5"/>
      <c r="G34" s="5"/>
    </row>
    <row r="35" customFormat="false" ht="19.5" hidden="false" customHeight="true" outlineLevel="0" collapsed="false">
      <c r="B35" s="5" t="s">
        <v>251</v>
      </c>
      <c r="C35" s="5" t="s">
        <v>252</v>
      </c>
      <c r="D35" s="5"/>
      <c r="E35" s="5"/>
      <c r="F35" s="5"/>
      <c r="G35" s="5"/>
    </row>
    <row r="36" customFormat="false" ht="19.5" hidden="false" customHeight="true" outlineLevel="0" collapsed="false">
      <c r="B36" s="5" t="s">
        <v>253</v>
      </c>
      <c r="C36" s="5" t="s">
        <v>254</v>
      </c>
      <c r="D36" s="5"/>
      <c r="E36" s="5"/>
      <c r="F36" s="5"/>
      <c r="G36" s="5"/>
    </row>
    <row r="37" customFormat="false" ht="19.5" hidden="false" customHeight="true" outlineLevel="0" collapsed="false">
      <c r="B37" s="5" t="s">
        <v>255</v>
      </c>
      <c r="C37" s="5" t="s">
        <v>256</v>
      </c>
      <c r="D37" s="5"/>
      <c r="E37" s="5"/>
      <c r="F37" s="5"/>
      <c r="G37" s="5"/>
    </row>
  </sheetData>
  <mergeCells count="8">
    <mergeCell ref="A2:G2"/>
    <mergeCell ref="B3:G3"/>
    <mergeCell ref="B31:G31"/>
    <mergeCell ref="C33:G33"/>
    <mergeCell ref="C34:G34"/>
    <mergeCell ref="C35:G35"/>
    <mergeCell ref="C36:G36"/>
    <mergeCell ref="C37:G37"/>
  </mergeCells>
  <dataValidations count="1">
    <dataValidation allowBlank="true" errorStyle="stop" operator="between" showDropDown="false" showErrorMessage="false" showInputMessage="false" sqref="F6:F26" type="list">
      <formula1>"Sim,Não,Parcial"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22"/>
  </cols>
  <sheetData>
    <row r="2" customFormat="false" ht="33.75" hidden="false" customHeight="true" outlineLevel="0" collapsed="false">
      <c r="A2" s="1" t="s">
        <v>257</v>
      </c>
      <c r="B2" s="1"/>
      <c r="C2" s="1"/>
      <c r="D2" s="1"/>
      <c r="E2" s="1"/>
      <c r="F2" s="1"/>
      <c r="G2" s="1"/>
    </row>
    <row r="3" customFormat="false" ht="18" hidden="false" customHeight="true" outlineLevel="0" collapsed="false">
      <c r="B3" s="10" t="s">
        <v>258</v>
      </c>
      <c r="C3" s="10"/>
      <c r="D3" s="10"/>
      <c r="E3" s="10"/>
      <c r="F3" s="10"/>
      <c r="G3" s="10"/>
    </row>
    <row r="5" customFormat="false" ht="27.75" hidden="false" customHeight="true" outlineLevel="0" collapsed="false">
      <c r="B5" s="11" t="s">
        <v>259</v>
      </c>
      <c r="C5" s="11" t="s">
        <v>260</v>
      </c>
      <c r="D5" s="11" t="s">
        <v>261</v>
      </c>
      <c r="E5" s="11" t="s">
        <v>262</v>
      </c>
      <c r="F5" s="11" t="s">
        <v>263</v>
      </c>
      <c r="G5" s="11" t="s">
        <v>264</v>
      </c>
      <c r="H5" s="11" t="s">
        <v>265</v>
      </c>
    </row>
    <row r="6" customFormat="false" ht="19.5" hidden="false" customHeight="true" outlineLevel="0" collapsed="false">
      <c r="B6" s="35"/>
      <c r="C6" s="35"/>
      <c r="D6" s="27"/>
      <c r="E6" s="35"/>
      <c r="F6" s="35"/>
      <c r="G6" s="35"/>
      <c r="H6" s="35"/>
    </row>
    <row r="7" customFormat="false" ht="19.5" hidden="false" customHeight="true" outlineLevel="0" collapsed="false">
      <c r="B7" s="35"/>
      <c r="C7" s="35"/>
      <c r="D7" s="27"/>
      <c r="E7" s="35"/>
      <c r="F7" s="35"/>
      <c r="G7" s="35"/>
      <c r="H7" s="35"/>
    </row>
    <row r="8" customFormat="false" ht="19.5" hidden="false" customHeight="true" outlineLevel="0" collapsed="false">
      <c r="B8" s="35"/>
      <c r="C8" s="35"/>
      <c r="D8" s="27"/>
      <c r="E8" s="35"/>
      <c r="F8" s="35"/>
      <c r="G8" s="35"/>
      <c r="H8" s="35"/>
    </row>
    <row r="9" customFormat="false" ht="19.5" hidden="false" customHeight="true" outlineLevel="0" collapsed="false">
      <c r="B9" s="35"/>
      <c r="C9" s="35"/>
      <c r="D9" s="27"/>
      <c r="E9" s="35"/>
      <c r="F9" s="35"/>
      <c r="G9" s="35"/>
      <c r="H9" s="35"/>
    </row>
    <row r="10" customFormat="false" ht="19.5" hidden="false" customHeight="true" outlineLevel="0" collapsed="false">
      <c r="B10" s="35"/>
      <c r="C10" s="35"/>
      <c r="D10" s="27"/>
      <c r="E10" s="35"/>
      <c r="F10" s="35"/>
      <c r="G10" s="35"/>
      <c r="H10" s="35"/>
    </row>
    <row r="11" customFormat="false" ht="19.5" hidden="false" customHeight="true" outlineLevel="0" collapsed="false">
      <c r="B11" s="35"/>
      <c r="C11" s="35"/>
      <c r="D11" s="27"/>
      <c r="E11" s="35"/>
      <c r="F11" s="35"/>
      <c r="G11" s="35"/>
      <c r="H11" s="35"/>
    </row>
    <row r="12" customFormat="false" ht="19.5" hidden="false" customHeight="true" outlineLevel="0" collapsed="false">
      <c r="B12" s="35"/>
      <c r="C12" s="35"/>
      <c r="D12" s="27"/>
      <c r="E12" s="35"/>
      <c r="F12" s="35"/>
      <c r="G12" s="35"/>
      <c r="H12" s="35"/>
    </row>
    <row r="13" customFormat="false" ht="19.5" hidden="false" customHeight="true" outlineLevel="0" collapsed="false">
      <c r="B13" s="35"/>
      <c r="C13" s="35"/>
      <c r="D13" s="27"/>
      <c r="E13" s="35"/>
      <c r="F13" s="35"/>
      <c r="G13" s="35"/>
      <c r="H13" s="35"/>
    </row>
    <row r="14" customFormat="false" ht="19.5" hidden="false" customHeight="true" outlineLevel="0" collapsed="false">
      <c r="B14" s="35"/>
      <c r="C14" s="35"/>
      <c r="D14" s="27"/>
      <c r="E14" s="35"/>
      <c r="F14" s="35"/>
      <c r="G14" s="35"/>
      <c r="H14" s="35"/>
    </row>
    <row r="15" customFormat="false" ht="19.5" hidden="false" customHeight="true" outlineLevel="0" collapsed="false">
      <c r="B15" s="35"/>
      <c r="C15" s="35"/>
      <c r="D15" s="27"/>
      <c r="E15" s="35"/>
      <c r="F15" s="35"/>
      <c r="G15" s="35"/>
      <c r="H15" s="35"/>
    </row>
    <row r="16" customFormat="false" ht="19.5" hidden="false" customHeight="true" outlineLevel="0" collapsed="false">
      <c r="B16" s="35"/>
      <c r="C16" s="35"/>
      <c r="D16" s="27"/>
      <c r="E16" s="35"/>
      <c r="F16" s="35"/>
      <c r="G16" s="35"/>
      <c r="H16" s="35"/>
    </row>
    <row r="17" customFormat="false" ht="19.5" hidden="false" customHeight="true" outlineLevel="0" collapsed="false">
      <c r="B17" s="35"/>
      <c r="C17" s="35"/>
      <c r="D17" s="27"/>
      <c r="E17" s="35"/>
      <c r="F17" s="35"/>
      <c r="G17" s="35"/>
      <c r="H17" s="35"/>
    </row>
    <row r="18" customFormat="false" ht="19.5" hidden="false" customHeight="true" outlineLevel="0" collapsed="false">
      <c r="B18" s="35"/>
      <c r="C18" s="35"/>
      <c r="D18" s="27"/>
      <c r="E18" s="35"/>
      <c r="F18" s="35"/>
      <c r="G18" s="35"/>
      <c r="H18" s="35"/>
    </row>
    <row r="19" customFormat="false" ht="19.5" hidden="false" customHeight="true" outlineLevel="0" collapsed="false">
      <c r="B19" s="35"/>
      <c r="C19" s="35"/>
      <c r="D19" s="27"/>
      <c r="E19" s="35"/>
      <c r="F19" s="35"/>
      <c r="G19" s="35"/>
      <c r="H19" s="35"/>
    </row>
    <row r="20" customFormat="false" ht="19.5" hidden="false" customHeight="true" outlineLevel="0" collapsed="false">
      <c r="B20" s="35"/>
      <c r="C20" s="35"/>
      <c r="D20" s="27"/>
      <c r="E20" s="35"/>
      <c r="F20" s="35"/>
      <c r="G20" s="35"/>
      <c r="H20" s="35"/>
    </row>
    <row r="22" customFormat="false" ht="15" hidden="false" customHeight="false" outlineLevel="0" collapsed="false">
      <c r="B22" s="45" t="s">
        <v>266</v>
      </c>
      <c r="C22" s="45"/>
      <c r="D22" s="46" t="n">
        <f aca="false">SUM(D6:D20)</f>
        <v>0</v>
      </c>
    </row>
  </sheetData>
  <mergeCells count="2">
    <mergeCell ref="A2:G2"/>
    <mergeCell ref="B3:G3"/>
  </mergeCells>
  <dataValidations count="2">
    <dataValidation allowBlank="true" errorStyle="stop" operator="between" showDropDown="false" showErrorMessage="false" showInputMessage="false" sqref="F6:F20" type="list">
      <formula1>"1ª notificação,2ª notificação,Negociação,Acordo firmado,Suspensão de benefício,Regularizado"</formula1>
      <formula2>0</formula2>
    </dataValidation>
    <dataValidation allowBlank="true" errorStyle="stop" operator="between" showDropDown="false" showErrorMessage="false" showInputMessage="false" sqref="G6:G20" type="list">
      <formula1>"Sim,Não,Em análise"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30"/>
  </cols>
  <sheetData>
    <row r="2" customFormat="false" ht="33.75" hidden="false" customHeight="true" outlineLevel="0" collapsed="false">
      <c r="A2" s="1" t="s">
        <v>267</v>
      </c>
      <c r="B2" s="1"/>
      <c r="C2" s="1"/>
      <c r="D2" s="1"/>
    </row>
    <row r="3" customFormat="false" ht="18" hidden="false" customHeight="true" outlineLevel="0" collapsed="false">
      <c r="B3" s="10" t="s">
        <v>268</v>
      </c>
      <c r="C3" s="10"/>
      <c r="D3" s="10"/>
    </row>
    <row r="5" customFormat="false" ht="27.75" hidden="false" customHeight="true" outlineLevel="0" collapsed="false">
      <c r="A5" s="11" t="s">
        <v>269</v>
      </c>
      <c r="B5" s="11" t="s">
        <v>270</v>
      </c>
      <c r="C5" s="11" t="s">
        <v>271</v>
      </c>
    </row>
    <row r="6" customFormat="false" ht="21.75" hidden="false" customHeight="true" outlineLevel="0" collapsed="false">
      <c r="B6" s="5" t="s">
        <v>272</v>
      </c>
      <c r="C6" s="43"/>
      <c r="D6" s="35"/>
    </row>
    <row r="7" customFormat="false" ht="21.75" hidden="false" customHeight="true" outlineLevel="0" collapsed="false">
      <c r="B7" s="5" t="s">
        <v>273</v>
      </c>
      <c r="C7" s="43"/>
      <c r="D7" s="35"/>
    </row>
    <row r="8" customFormat="false" ht="21.75" hidden="false" customHeight="true" outlineLevel="0" collapsed="false">
      <c r="B8" s="5" t="s">
        <v>274</v>
      </c>
      <c r="C8" s="43"/>
      <c r="D8" s="35"/>
    </row>
    <row r="9" customFormat="false" ht="21.75" hidden="false" customHeight="true" outlineLevel="0" collapsed="false">
      <c r="B9" s="5" t="s">
        <v>275</v>
      </c>
      <c r="C9" s="43"/>
      <c r="D9" s="35"/>
    </row>
    <row r="10" customFormat="false" ht="21.75" hidden="false" customHeight="true" outlineLevel="0" collapsed="false">
      <c r="B10" s="5" t="s">
        <v>276</v>
      </c>
      <c r="C10" s="43"/>
      <c r="D10" s="35"/>
    </row>
    <row r="11" customFormat="false" ht="21.75" hidden="false" customHeight="true" outlineLevel="0" collapsed="false">
      <c r="B11" s="5" t="s">
        <v>277</v>
      </c>
      <c r="C11" s="43"/>
      <c r="D11" s="35"/>
    </row>
    <row r="12" customFormat="false" ht="21.75" hidden="false" customHeight="true" outlineLevel="0" collapsed="false">
      <c r="B12" s="5" t="s">
        <v>278</v>
      </c>
      <c r="C12" s="43"/>
      <c r="D12" s="35"/>
    </row>
    <row r="13" customFormat="false" ht="21.75" hidden="false" customHeight="true" outlineLevel="0" collapsed="false">
      <c r="B13" s="5" t="s">
        <v>279</v>
      </c>
      <c r="C13" s="43"/>
      <c r="D13" s="35"/>
    </row>
    <row r="14" customFormat="false" ht="21.75" hidden="false" customHeight="true" outlineLevel="0" collapsed="false">
      <c r="B14" s="5" t="s">
        <v>280</v>
      </c>
      <c r="C14" s="43"/>
      <c r="D14" s="35"/>
    </row>
    <row r="15" customFormat="false" ht="21.75" hidden="false" customHeight="true" outlineLevel="0" collapsed="false">
      <c r="B15" s="5" t="s">
        <v>281</v>
      </c>
      <c r="C15" s="43"/>
      <c r="D15" s="35"/>
    </row>
  </sheetData>
  <mergeCells count="2">
    <mergeCell ref="A2:D2"/>
    <mergeCell ref="B3:D3"/>
  </mergeCells>
  <dataValidations count="1">
    <dataValidation allowBlank="true" errorStyle="stop" operator="between" showDropDown="false" showErrorMessage="false" showInputMessage="false" sqref="C6:C15" type="list">
      <formula1>"Sim,Não,Em andamento"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30"/>
  </cols>
  <sheetData>
    <row r="2" customFormat="false" ht="33.75" hidden="false" customHeight="true" outlineLevel="0" collapsed="false">
      <c r="A2" s="1" t="s">
        <v>282</v>
      </c>
      <c r="B2" s="1"/>
      <c r="C2" s="1"/>
      <c r="D2" s="1"/>
    </row>
    <row r="3" customFormat="false" ht="18" hidden="false" customHeight="true" outlineLevel="0" collapsed="false">
      <c r="B3" s="10" t="s">
        <v>283</v>
      </c>
      <c r="C3" s="10"/>
      <c r="D3" s="10"/>
    </row>
    <row r="5" customFormat="false" ht="27.75" hidden="false" customHeight="true" outlineLevel="0" collapsed="false">
      <c r="A5" s="11" t="s">
        <v>284</v>
      </c>
      <c r="B5" s="11" t="s">
        <v>285</v>
      </c>
      <c r="C5" s="11" t="s">
        <v>45</v>
      </c>
    </row>
    <row r="6" customFormat="false" ht="25.5" hidden="false" customHeight="true" outlineLevel="0" collapsed="false">
      <c r="B6" s="5" t="s">
        <v>286</v>
      </c>
      <c r="C6" s="37" t="s">
        <v>287</v>
      </c>
      <c r="D6" s="5" t="s">
        <v>118</v>
      </c>
    </row>
    <row r="7" customFormat="false" ht="25.5" hidden="false" customHeight="true" outlineLevel="0" collapsed="false">
      <c r="B7" s="5" t="s">
        <v>288</v>
      </c>
      <c r="C7" s="37" t="s">
        <v>289</v>
      </c>
      <c r="D7" s="5" t="s">
        <v>290</v>
      </c>
    </row>
    <row r="8" customFormat="false" ht="25.5" hidden="false" customHeight="true" outlineLevel="0" collapsed="false">
      <c r="B8" s="5" t="s">
        <v>291</v>
      </c>
      <c r="C8" s="37" t="s">
        <v>292</v>
      </c>
      <c r="D8" s="5" t="s">
        <v>293</v>
      </c>
    </row>
    <row r="9" customFormat="false" ht="25.5" hidden="false" customHeight="true" outlineLevel="0" collapsed="false">
      <c r="B9" s="5" t="s">
        <v>294</v>
      </c>
      <c r="C9" s="37" t="s">
        <v>295</v>
      </c>
      <c r="D9" s="5" t="s">
        <v>296</v>
      </c>
    </row>
    <row r="10" customFormat="false" ht="25.5" hidden="false" customHeight="true" outlineLevel="0" collapsed="false">
      <c r="B10" s="5" t="s">
        <v>297</v>
      </c>
      <c r="C10" s="37" t="s">
        <v>298</v>
      </c>
      <c r="D10" s="5" t="s">
        <v>299</v>
      </c>
    </row>
    <row r="11" customFormat="false" ht="25.5" hidden="false" customHeight="true" outlineLevel="0" collapsed="false">
      <c r="B11" s="5" t="s">
        <v>300</v>
      </c>
      <c r="C11" s="37" t="s">
        <v>298</v>
      </c>
      <c r="D11" s="5" t="s">
        <v>301</v>
      </c>
    </row>
    <row r="12" customFormat="false" ht="25.5" hidden="false" customHeight="true" outlineLevel="0" collapsed="false">
      <c r="B12" s="5" t="s">
        <v>302</v>
      </c>
      <c r="C12" s="37" t="s">
        <v>295</v>
      </c>
      <c r="D12" s="5" t="s">
        <v>303</v>
      </c>
    </row>
    <row r="13" customFormat="false" ht="25.5" hidden="false" customHeight="true" outlineLevel="0" collapsed="false">
      <c r="B13" s="5" t="s">
        <v>304</v>
      </c>
      <c r="C13" s="37" t="s">
        <v>295</v>
      </c>
      <c r="D13" s="5" t="s">
        <v>305</v>
      </c>
    </row>
    <row r="14" customFormat="false" ht="25.5" hidden="false" customHeight="true" outlineLevel="0" collapsed="false">
      <c r="B14" s="5" t="s">
        <v>306</v>
      </c>
      <c r="C14" s="37" t="s">
        <v>307</v>
      </c>
      <c r="D14" s="5" t="s">
        <v>308</v>
      </c>
    </row>
    <row r="15" customFormat="false" ht="25.5" hidden="false" customHeight="true" outlineLevel="0" collapsed="false">
      <c r="B15" s="5" t="s">
        <v>309</v>
      </c>
      <c r="C15" s="37" t="s">
        <v>310</v>
      </c>
      <c r="D15" s="5" t="s">
        <v>311</v>
      </c>
    </row>
    <row r="16" customFormat="false" ht="25.5" hidden="false" customHeight="true" outlineLevel="0" collapsed="false">
      <c r="B16" s="5" t="s">
        <v>312</v>
      </c>
      <c r="C16" s="37" t="s">
        <v>295</v>
      </c>
      <c r="D16" s="5" t="s">
        <v>313</v>
      </c>
    </row>
    <row r="17" customFormat="false" ht="25.5" hidden="false" customHeight="true" outlineLevel="0" collapsed="false">
      <c r="B17" s="5" t="s">
        <v>314</v>
      </c>
      <c r="C17" s="37" t="s">
        <v>315</v>
      </c>
      <c r="D17" s="5" t="s">
        <v>316</v>
      </c>
    </row>
  </sheetData>
  <mergeCells count="2">
    <mergeCell ref="A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50"/>
  </cols>
  <sheetData>
    <row r="2" customFormat="false" ht="33.75" hidden="false" customHeight="true" outlineLevel="0" collapsed="false">
      <c r="A2" s="1" t="s">
        <v>317</v>
      </c>
      <c r="B2" s="1"/>
      <c r="C2" s="1"/>
    </row>
    <row r="3" customFormat="false" ht="18" hidden="false" customHeight="true" outlineLevel="0" collapsed="false">
      <c r="B3" s="10" t="s">
        <v>318</v>
      </c>
      <c r="C3" s="10"/>
    </row>
    <row r="5" customFormat="false" ht="15" hidden="false" customHeight="false" outlineLevel="0" collapsed="false">
      <c r="B5" s="4" t="s">
        <v>260</v>
      </c>
      <c r="C5" s="35"/>
    </row>
    <row r="7" customFormat="false" ht="49.5" hidden="false" customHeight="true" outlineLevel="0" collapsed="false">
      <c r="B7" s="47" t="s">
        <v>319</v>
      </c>
      <c r="C7" s="48"/>
    </row>
    <row r="8" customFormat="false" ht="49.5" hidden="false" customHeight="true" outlineLevel="0" collapsed="false">
      <c r="B8" s="47" t="s">
        <v>320</v>
      </c>
      <c r="C8" s="48"/>
    </row>
    <row r="9" customFormat="false" ht="49.5" hidden="false" customHeight="true" outlineLevel="0" collapsed="false">
      <c r="B9" s="47" t="s">
        <v>321</v>
      </c>
      <c r="C9" s="48"/>
    </row>
    <row r="10" customFormat="false" ht="49.5" hidden="false" customHeight="true" outlineLevel="0" collapsed="false">
      <c r="B10" s="47" t="s">
        <v>322</v>
      </c>
      <c r="C10" s="48"/>
    </row>
    <row r="11" customFormat="false" ht="49.5" hidden="false" customHeight="true" outlineLevel="0" collapsed="false">
      <c r="B11" s="47" t="s">
        <v>323</v>
      </c>
      <c r="C11" s="48"/>
    </row>
    <row r="12" customFormat="false" ht="49.5" hidden="false" customHeight="true" outlineLevel="0" collapsed="false">
      <c r="B12" s="47" t="s">
        <v>324</v>
      </c>
      <c r="C12" s="48"/>
    </row>
    <row r="13" customFormat="false" ht="49.5" hidden="false" customHeight="true" outlineLevel="0" collapsed="false">
      <c r="B13" s="47" t="s">
        <v>325</v>
      </c>
      <c r="C13" s="48"/>
    </row>
    <row r="14" customFormat="false" ht="49.5" hidden="false" customHeight="true" outlineLevel="0" collapsed="false">
      <c r="B14" s="47" t="s">
        <v>326</v>
      </c>
      <c r="C14" s="48"/>
    </row>
    <row r="15" customFormat="false" ht="49.5" hidden="false" customHeight="true" outlineLevel="0" collapsed="false">
      <c r="B15" s="47" t="s">
        <v>327</v>
      </c>
      <c r="C15" s="48"/>
    </row>
    <row r="16" customFormat="false" ht="49.5" hidden="false" customHeight="true" outlineLevel="0" collapsed="false">
      <c r="B16" s="47" t="s">
        <v>328</v>
      </c>
      <c r="C16" s="48"/>
    </row>
  </sheetData>
  <mergeCells count="2">
    <mergeCell ref="A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2026-06-26T10:33:53Z</dcterms:created>
  <dc:creator>openpyxl</dc:creator>
  <dc:description/>
  <dc:language>en-US</dc:language>
  <cp:lastModifiedBy/>
  <dcterms:modified xsi:type="dcterms:W3CDTF">2026-06-26T10:33:53Z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